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D:\Projs\Peel Potato\data\"/>
    </mc:Choice>
  </mc:AlternateContent>
  <xr:revisionPtr revIDLastSave="0" documentId="13_ncr:1_{25160B69-7986-4479-BEA7-38EDB133AF36}" xr6:coauthVersionLast="47" xr6:coauthVersionMax="47" xr10:uidLastSave="{00000000-0000-0000-0000-000000000000}"/>
  <bookViews>
    <workbookView xWindow="-90" yWindow="0" windowWidth="9780" windowHeight="10890" xr2:uid="{00000000-000D-0000-FFFF-FFFF00000000}"/>
  </bookViews>
  <sheets>
    <sheet name="emp" sheetId="1" r:id="rId1"/>
    <sheet name="Sheet1" sheetId="25" state="hidden" r:id="rId2"/>
    <sheet name="组统计_temp" sheetId="24" state="hidden" r:id="rId3"/>
    <sheet name="全量剪刀差" sheetId="23" state="hidden" r:id="rId4"/>
    <sheet name="考核方案" sheetId="20" state="hidden" r:id="rId5"/>
    <sheet name="1031" sheetId="21" state="hidden" r:id="rId6"/>
    <sheet name="三个系数计算" sheetId="15" state="hidden" r:id="rId7"/>
    <sheet name="负产能转移" sheetId="17" state="hidden" r:id="rId8"/>
    <sheet name="1027" sheetId="18" state="hidden" r:id="rId9"/>
    <sheet name="10月方案" sheetId="12" state="hidden" r:id="rId10"/>
    <sheet name="考核剔除数" sheetId="16" state="hidden" r:id="rId11"/>
  </sheets>
  <definedNames>
    <definedName name="_xlnm._FilterDatabase" localSheetId="8" hidden="1">'1027'!$B$11:$Q$66</definedName>
    <definedName name="_xlnm._FilterDatabase" localSheetId="5" hidden="1">'1031'!$B$11:$T$66</definedName>
    <definedName name="_xlnm._FilterDatabase" localSheetId="0" hidden="1">emp!$B$1:$B$47</definedName>
    <definedName name="_xlnm._FilterDatabase" localSheetId="7" hidden="1">负产能转移!$A$2:$H$51</definedName>
    <definedName name="高负激活" localSheetId="8">#REF!</definedName>
    <definedName name="高负激活" localSheetId="5">#REF!</definedName>
    <definedName name="高负激活">#REF!</definedName>
    <definedName name="机构人员data" localSheetId="8">#REF!</definedName>
    <definedName name="机构人员data" localSheetId="5">#REF!</definedName>
    <definedName name="机构人员data">#REF!</definedName>
    <definedName name="一删一加" localSheetId="8">#REF!</definedName>
    <definedName name="一删一加" localSheetId="5">#REF!</definedName>
    <definedName name="一删一加">#REF!</definedName>
  </definedNames>
  <calcPr calcId="181029"/>
</workbook>
</file>

<file path=xl/calcChain.xml><?xml version="1.0" encoding="utf-8"?>
<calcChain xmlns="http://schemas.openxmlformats.org/spreadsheetml/2006/main">
  <c r="D67" i="18" l="1"/>
  <c r="D59" i="18"/>
  <c r="E53" i="18"/>
  <c r="F53" i="18" s="1"/>
  <c r="H53" i="18" s="1"/>
  <c r="D51" i="18"/>
  <c r="E47" i="18"/>
  <c r="F47" i="18" s="1"/>
  <c r="D44" i="18"/>
  <c r="D37" i="18"/>
  <c r="D29" i="18"/>
  <c r="D21" i="18"/>
  <c r="D12" i="18"/>
  <c r="G51" i="17"/>
  <c r="F51" i="17"/>
  <c r="G50" i="17"/>
  <c r="F50" i="17"/>
  <c r="G49" i="17"/>
  <c r="F49" i="17"/>
  <c r="G48" i="17"/>
  <c r="F48" i="17"/>
  <c r="G47" i="17"/>
  <c r="F47" i="17"/>
  <c r="G46" i="17"/>
  <c r="F46" i="17"/>
  <c r="G45" i="17"/>
  <c r="F45" i="17"/>
  <c r="G44" i="17"/>
  <c r="F44" i="17"/>
  <c r="G43" i="17"/>
  <c r="F43" i="17"/>
  <c r="G42" i="17"/>
  <c r="F42" i="17"/>
  <c r="G41" i="17"/>
  <c r="F41" i="17"/>
  <c r="G40" i="17"/>
  <c r="F40" i="17"/>
  <c r="G39" i="17"/>
  <c r="F39" i="17"/>
  <c r="G38" i="17"/>
  <c r="F38" i="17"/>
  <c r="G37" i="17"/>
  <c r="F37" i="17"/>
  <c r="G36" i="17"/>
  <c r="F36" i="17"/>
  <c r="G35" i="17"/>
  <c r="F35" i="17"/>
  <c r="G34" i="17"/>
  <c r="F34" i="17"/>
  <c r="G33" i="17"/>
  <c r="F33" i="17"/>
  <c r="G32" i="17"/>
  <c r="F32" i="17"/>
  <c r="G31" i="17"/>
  <c r="F31" i="17"/>
  <c r="G30" i="17"/>
  <c r="F30" i="17"/>
  <c r="G29" i="17"/>
  <c r="F29" i="17"/>
  <c r="G28" i="17"/>
  <c r="F28" i="17"/>
  <c r="G27" i="17"/>
  <c r="F27" i="17"/>
  <c r="G26" i="17"/>
  <c r="F26" i="17"/>
  <c r="G25" i="17"/>
  <c r="F25" i="17"/>
  <c r="G24" i="17"/>
  <c r="F24" i="17"/>
  <c r="G23" i="17"/>
  <c r="F23" i="17"/>
  <c r="G22" i="17"/>
  <c r="F22" i="17"/>
  <c r="G21" i="17"/>
  <c r="F21" i="17"/>
  <c r="G20" i="17"/>
  <c r="F20" i="17"/>
  <c r="G19" i="17"/>
  <c r="F19" i="17"/>
  <c r="G18" i="17"/>
  <c r="F18" i="17"/>
  <c r="G17" i="17"/>
  <c r="F17" i="17"/>
  <c r="G16" i="17"/>
  <c r="F16" i="17"/>
  <c r="G15" i="17"/>
  <c r="F15" i="17"/>
  <c r="G14" i="17"/>
  <c r="F14" i="17"/>
  <c r="G13" i="17"/>
  <c r="F13" i="17"/>
  <c r="G12" i="17"/>
  <c r="F12" i="17"/>
  <c r="G11" i="17"/>
  <c r="F11" i="17"/>
  <c r="G10" i="17"/>
  <c r="F10" i="17"/>
  <c r="G9" i="17"/>
  <c r="F9" i="17"/>
  <c r="G8" i="17"/>
  <c r="F8" i="17"/>
  <c r="G7" i="17"/>
  <c r="F7" i="17"/>
  <c r="G6" i="17"/>
  <c r="F6" i="17"/>
  <c r="G5" i="17"/>
  <c r="F5" i="17"/>
  <c r="G4" i="17"/>
  <c r="F4" i="17"/>
  <c r="G3" i="17"/>
  <c r="F3" i="17"/>
  <c r="M50" i="15"/>
  <c r="M49" i="15"/>
  <c r="I49" i="15"/>
  <c r="H49" i="15"/>
  <c r="F49" i="15"/>
  <c r="M48" i="15"/>
  <c r="I48" i="15"/>
  <c r="H48" i="15"/>
  <c r="F48" i="15"/>
  <c r="M47" i="15"/>
  <c r="I47" i="15"/>
  <c r="H47" i="15"/>
  <c r="F47" i="15"/>
  <c r="M46" i="15"/>
  <c r="I46" i="15"/>
  <c r="H46" i="15"/>
  <c r="F46" i="15"/>
  <c r="M45" i="15"/>
  <c r="I45" i="15"/>
  <c r="H45" i="15"/>
  <c r="F45" i="15"/>
  <c r="M44" i="15"/>
  <c r="I44" i="15"/>
  <c r="H44" i="15"/>
  <c r="F44" i="15"/>
  <c r="M43" i="15"/>
  <c r="I43" i="15"/>
  <c r="H43" i="15"/>
  <c r="F43" i="15"/>
  <c r="M42" i="15"/>
  <c r="I42" i="15"/>
  <c r="H42" i="15"/>
  <c r="F42" i="15"/>
  <c r="M41" i="15"/>
  <c r="I41" i="15"/>
  <c r="H41" i="15"/>
  <c r="Q6" i="15" s="1"/>
  <c r="F41" i="15"/>
  <c r="M40" i="15"/>
  <c r="I40" i="15"/>
  <c r="H40" i="15"/>
  <c r="F40" i="15"/>
  <c r="M39" i="15"/>
  <c r="I39" i="15"/>
  <c r="H39" i="15"/>
  <c r="F39" i="15"/>
  <c r="M38" i="15"/>
  <c r="I38" i="15"/>
  <c r="H38" i="15"/>
  <c r="F38" i="15"/>
  <c r="M37" i="15"/>
  <c r="I37" i="15"/>
  <c r="H37" i="15"/>
  <c r="F37" i="15"/>
  <c r="M36" i="15"/>
  <c r="I36" i="15"/>
  <c r="H36" i="15"/>
  <c r="F36" i="15"/>
  <c r="M35" i="15"/>
  <c r="I35" i="15"/>
  <c r="H35" i="15"/>
  <c r="F35" i="15"/>
  <c r="M34" i="15"/>
  <c r="I34" i="15"/>
  <c r="H34" i="15"/>
  <c r="F34" i="15"/>
  <c r="M33" i="15"/>
  <c r="I33" i="15"/>
  <c r="H33" i="15"/>
  <c r="F33" i="15"/>
  <c r="M32" i="15"/>
  <c r="I32" i="15"/>
  <c r="H32" i="15"/>
  <c r="F32" i="15"/>
  <c r="M31" i="15"/>
  <c r="H31" i="15"/>
  <c r="F31" i="15"/>
  <c r="M30" i="15"/>
  <c r="H30" i="15"/>
  <c r="F30" i="15"/>
  <c r="M29" i="15"/>
  <c r="I29" i="15"/>
  <c r="H29" i="15"/>
  <c r="F29" i="15"/>
  <c r="M28" i="15"/>
  <c r="I28" i="15"/>
  <c r="H28" i="15"/>
  <c r="F28" i="15"/>
  <c r="M27" i="15"/>
  <c r="I27" i="15"/>
  <c r="H27" i="15"/>
  <c r="F27" i="15"/>
  <c r="M26" i="15"/>
  <c r="I26" i="15"/>
  <c r="H26" i="15"/>
  <c r="F26" i="15"/>
  <c r="M25" i="15"/>
  <c r="I25" i="15"/>
  <c r="H25" i="15"/>
  <c r="F25" i="15"/>
  <c r="M24" i="15"/>
  <c r="I24" i="15"/>
  <c r="H24" i="15"/>
  <c r="F24" i="15"/>
  <c r="M23" i="15"/>
  <c r="I23" i="15"/>
  <c r="H23" i="15"/>
  <c r="F23" i="15"/>
  <c r="M22" i="15"/>
  <c r="I22" i="15"/>
  <c r="H22" i="15"/>
  <c r="F22" i="15"/>
  <c r="M21" i="15"/>
  <c r="I21" i="15"/>
  <c r="H21" i="15"/>
  <c r="F21" i="15"/>
  <c r="M20" i="15"/>
  <c r="I20" i="15"/>
  <c r="H20" i="15"/>
  <c r="F20" i="15"/>
  <c r="M19" i="15"/>
  <c r="I19" i="15"/>
  <c r="H19" i="15"/>
  <c r="F19" i="15"/>
  <c r="M18" i="15"/>
  <c r="I18" i="15"/>
  <c r="H18" i="15"/>
  <c r="F18" i="15"/>
  <c r="M17" i="15"/>
  <c r="I17" i="15"/>
  <c r="H17" i="15"/>
  <c r="F17" i="15"/>
  <c r="M16" i="15"/>
  <c r="I16" i="15"/>
  <c r="H16" i="15"/>
  <c r="F16" i="15"/>
  <c r="M15" i="15"/>
  <c r="I15" i="15"/>
  <c r="H15" i="15"/>
  <c r="F15" i="15"/>
  <c r="M14" i="15"/>
  <c r="I14" i="15"/>
  <c r="H14" i="15"/>
  <c r="F14" i="15"/>
  <c r="M13" i="15"/>
  <c r="I13" i="15"/>
  <c r="H13" i="15"/>
  <c r="F13" i="15"/>
  <c r="M12" i="15"/>
  <c r="I12" i="15"/>
  <c r="H12" i="15"/>
  <c r="F12" i="15"/>
  <c r="M11" i="15"/>
  <c r="I11" i="15"/>
  <c r="H11" i="15"/>
  <c r="F11" i="15"/>
  <c r="M10" i="15"/>
  <c r="I10" i="15"/>
  <c r="H10" i="15"/>
  <c r="F10" i="15"/>
  <c r="M9" i="15"/>
  <c r="I9" i="15"/>
  <c r="H9" i="15"/>
  <c r="F9" i="15"/>
  <c r="M8" i="15"/>
  <c r="I8" i="15"/>
  <c r="H8" i="15"/>
  <c r="F8" i="15"/>
  <c r="Q7" i="15"/>
  <c r="M7" i="15"/>
  <c r="I31" i="15" s="1"/>
  <c r="I7" i="15"/>
  <c r="H7" i="15"/>
  <c r="F7" i="15"/>
  <c r="M6" i="15"/>
  <c r="I30" i="15" s="1"/>
  <c r="I6" i="15"/>
  <c r="H6" i="15"/>
  <c r="G6" i="15" s="1"/>
  <c r="D6" i="15" s="1"/>
  <c r="F6" i="15"/>
  <c r="Q5" i="15"/>
  <c r="M5" i="15"/>
  <c r="I5" i="15"/>
  <c r="H5" i="15"/>
  <c r="F5" i="15"/>
  <c r="M4" i="15"/>
  <c r="I4" i="15"/>
  <c r="H4" i="15"/>
  <c r="F4" i="15"/>
  <c r="M3" i="15"/>
  <c r="I3" i="15"/>
  <c r="H3" i="15"/>
  <c r="F3" i="15"/>
  <c r="M2" i="15"/>
  <c r="I2" i="15"/>
  <c r="H2" i="15"/>
  <c r="F2" i="15"/>
  <c r="D67" i="21"/>
  <c r="D59" i="21"/>
  <c r="H59" i="21"/>
  <c r="D51" i="21"/>
  <c r="D44" i="21"/>
  <c r="D37" i="21"/>
  <c r="D29" i="21"/>
  <c r="D21" i="21"/>
  <c r="D12" i="21"/>
  <c r="C10" i="24"/>
  <c r="A10" i="24"/>
  <c r="C9" i="24"/>
  <c r="A9" i="24"/>
  <c r="C8" i="24"/>
  <c r="A8" i="24"/>
  <c r="C7" i="24"/>
  <c r="A7" i="24"/>
  <c r="C6" i="24"/>
  <c r="A6" i="24"/>
  <c r="C5" i="24"/>
  <c r="A5" i="24"/>
  <c r="C4" i="24"/>
  <c r="A4" i="24"/>
  <c r="C3" i="24"/>
  <c r="A3" i="24"/>
  <c r="C2" i="24"/>
  <c r="A2" i="24"/>
  <c r="B5" i="24"/>
  <c r="K63" i="21" l="1"/>
  <c r="G4" i="15"/>
  <c r="D4" i="15" s="1"/>
  <c r="G8" i="15"/>
  <c r="D8" i="15" s="1"/>
  <c r="G10" i="15"/>
  <c r="D10" i="15" s="1"/>
  <c r="G12" i="15"/>
  <c r="D12" i="15" s="1"/>
  <c r="G14" i="15"/>
  <c r="D14" i="15" s="1"/>
  <c r="G16" i="15"/>
  <c r="D16" i="15" s="1"/>
  <c r="G18" i="15"/>
  <c r="D18" i="15" s="1"/>
  <c r="G20" i="15"/>
  <c r="D20" i="15" s="1"/>
  <c r="G22" i="15"/>
  <c r="D22" i="15" s="1"/>
  <c r="G24" i="15"/>
  <c r="D24" i="15" s="1"/>
  <c r="G26" i="15"/>
  <c r="D26" i="15" s="1"/>
  <c r="G28" i="15"/>
  <c r="D28" i="15" s="1"/>
  <c r="G30" i="15"/>
  <c r="D30" i="15" s="1"/>
  <c r="G32" i="15"/>
  <c r="D32" i="15" s="1"/>
  <c r="G34" i="15"/>
  <c r="D34" i="15" s="1"/>
  <c r="G36" i="15"/>
  <c r="D36" i="15" s="1"/>
  <c r="G38" i="15"/>
  <c r="D38" i="15" s="1"/>
  <c r="G40" i="15"/>
  <c r="D40" i="15" s="1"/>
  <c r="G42" i="15"/>
  <c r="D42" i="15" s="1"/>
  <c r="G44" i="15"/>
  <c r="D44" i="15" s="1"/>
  <c r="G46" i="15"/>
  <c r="D46" i="15" s="1"/>
  <c r="G48" i="15"/>
  <c r="D48" i="15" s="1"/>
  <c r="G3" i="15"/>
  <c r="D3" i="15" s="1"/>
  <c r="G5" i="15"/>
  <c r="D5" i="15" s="1"/>
  <c r="G7" i="15"/>
  <c r="D7" i="15" s="1"/>
  <c r="G9" i="15"/>
  <c r="D9" i="15" s="1"/>
  <c r="G11" i="15"/>
  <c r="D11" i="15" s="1"/>
  <c r="G13" i="15"/>
  <c r="D13" i="15" s="1"/>
  <c r="G15" i="15"/>
  <c r="D15" i="15" s="1"/>
  <c r="G17" i="15"/>
  <c r="D17" i="15" s="1"/>
  <c r="G19" i="15"/>
  <c r="D19" i="15" s="1"/>
  <c r="G21" i="15"/>
  <c r="D21" i="15" s="1"/>
  <c r="G23" i="15"/>
  <c r="D23" i="15" s="1"/>
  <c r="G25" i="15"/>
  <c r="D25" i="15" s="1"/>
  <c r="G27" i="15"/>
  <c r="D27" i="15" s="1"/>
  <c r="G29" i="15"/>
  <c r="D29" i="15" s="1"/>
  <c r="G31" i="15"/>
  <c r="D31" i="15" s="1"/>
  <c r="G33" i="15"/>
  <c r="D33" i="15" s="1"/>
  <c r="G35" i="15"/>
  <c r="D35" i="15" s="1"/>
  <c r="G37" i="15"/>
  <c r="D37" i="15" s="1"/>
  <c r="G39" i="15"/>
  <c r="D39" i="15" s="1"/>
  <c r="G43" i="15"/>
  <c r="D43" i="15" s="1"/>
  <c r="G45" i="15"/>
  <c r="D45" i="15" s="1"/>
  <c r="G47" i="15"/>
  <c r="D47" i="15" s="1"/>
  <c r="G49" i="15"/>
  <c r="D49" i="15" s="1"/>
  <c r="G41" i="15"/>
  <c r="D41" i="15" s="1"/>
  <c r="Q3" i="15"/>
  <c r="E56" i="18"/>
  <c r="F56" i="18" s="1"/>
  <c r="E13" i="21"/>
  <c r="M52" i="18"/>
  <c r="E66" i="18"/>
  <c r="F66" i="18" s="1"/>
  <c r="E34" i="18"/>
  <c r="F34" i="18" s="1"/>
  <c r="K43" i="21"/>
  <c r="K45" i="21"/>
  <c r="K55" i="21"/>
  <c r="M23" i="18"/>
  <c r="V32" i="21"/>
  <c r="H37" i="21"/>
  <c r="K48" i="21"/>
  <c r="M62" i="18"/>
  <c r="M15" i="18"/>
  <c r="E22" i="18"/>
  <c r="P65" i="21"/>
  <c r="K60" i="21"/>
  <c r="L51" i="18"/>
  <c r="P59" i="18"/>
  <c r="E61" i="18"/>
  <c r="F61" i="18" s="1"/>
  <c r="E65" i="18"/>
  <c r="F65" i="18" s="1"/>
  <c r="M7" i="21"/>
  <c r="V16" i="21"/>
  <c r="K34" i="21"/>
  <c r="O59" i="21"/>
  <c r="E19" i="18"/>
  <c r="F19" i="18" s="1"/>
  <c r="M32" i="18"/>
  <c r="E55" i="18"/>
  <c r="F55" i="18" s="1"/>
  <c r="H55" i="18" s="1"/>
  <c r="M58" i="18"/>
  <c r="K40" i="21"/>
  <c r="V58" i="21"/>
  <c r="K65" i="21"/>
  <c r="K66" i="21"/>
  <c r="E48" i="21"/>
  <c r="F48" i="21" s="1"/>
  <c r="U51" i="21"/>
  <c r="K56" i="21"/>
  <c r="L7" i="21"/>
  <c r="E39" i="18"/>
  <c r="F39" i="18" s="1"/>
  <c r="J44" i="21"/>
  <c r="U59" i="21"/>
  <c r="E56" i="21"/>
  <c r="F56" i="21" s="1"/>
  <c r="E33" i="18"/>
  <c r="F33" i="18" s="1"/>
  <c r="H33" i="18" s="1"/>
  <c r="P67" i="18"/>
  <c r="E53" i="21"/>
  <c r="F53" i="21" s="1"/>
  <c r="E49" i="21"/>
  <c r="F49" i="21" s="1"/>
  <c r="K53" i="21"/>
  <c r="M66" i="18"/>
  <c r="K24" i="21"/>
  <c r="K16" i="21"/>
  <c r="M20" i="18"/>
  <c r="J59" i="21"/>
  <c r="M46" i="18"/>
  <c r="M50" i="18"/>
  <c r="S59" i="21"/>
  <c r="M61" i="18"/>
  <c r="K37" i="18"/>
  <c r="P24" i="21"/>
  <c r="E16" i="21"/>
  <c r="F16" i="21" s="1"/>
  <c r="V18" i="21"/>
  <c r="K23" i="21"/>
  <c r="I29" i="21"/>
  <c r="J37" i="21"/>
  <c r="S44" i="21"/>
  <c r="U44" i="21"/>
  <c r="I44" i="21"/>
  <c r="M51" i="21"/>
  <c r="P53" i="21"/>
  <c r="R67" i="21"/>
  <c r="E14" i="18"/>
  <c r="F14" i="18" s="1"/>
  <c r="M17" i="18"/>
  <c r="M24" i="18"/>
  <c r="E25" i="18"/>
  <c r="F25" i="18" s="1"/>
  <c r="G25" i="18" s="1"/>
  <c r="E31" i="18"/>
  <c r="F31" i="18" s="1"/>
  <c r="G31" i="18" s="1"/>
  <c r="M35" i="18"/>
  <c r="O51" i="18"/>
  <c r="M48" i="18"/>
  <c r="E49" i="18"/>
  <c r="F49" i="18" s="1"/>
  <c r="G49" i="18" s="1"/>
  <c r="M54" i="18"/>
  <c r="J67" i="18"/>
  <c r="M64" i="18"/>
  <c r="P51" i="18"/>
  <c r="K67" i="18"/>
  <c r="R59" i="21"/>
  <c r="P58" i="21"/>
  <c r="E60" i="21"/>
  <c r="F60" i="21" s="1"/>
  <c r="T67" i="21"/>
  <c r="K62" i="21"/>
  <c r="L37" i="18"/>
  <c r="P37" i="18"/>
  <c r="Q51" i="18"/>
  <c r="L67" i="18"/>
  <c r="H29" i="21"/>
  <c r="E38" i="21"/>
  <c r="F38" i="21" s="1"/>
  <c r="E18" i="21"/>
  <c r="F18" i="21" s="1"/>
  <c r="K36" i="21"/>
  <c r="N21" i="18"/>
  <c r="M27" i="18"/>
  <c r="E35" i="18"/>
  <c r="F35" i="18" s="1"/>
  <c r="E36" i="18"/>
  <c r="F36" i="18" s="1"/>
  <c r="H36" i="18" s="1"/>
  <c r="E48" i="18"/>
  <c r="F48" i="18" s="1"/>
  <c r="H48" i="18" s="1"/>
  <c r="M57" i="18"/>
  <c r="N67" i="18"/>
  <c r="M63" i="18"/>
  <c r="K35" i="21"/>
  <c r="J21" i="18"/>
  <c r="E18" i="18"/>
  <c r="F18" i="18" s="1"/>
  <c r="H18" i="18" s="1"/>
  <c r="E23" i="18"/>
  <c r="F23" i="18" s="1"/>
  <c r="H23" i="18" s="1"/>
  <c r="E24" i="18"/>
  <c r="F24" i="18" s="1"/>
  <c r="H24" i="18" s="1"/>
  <c r="O37" i="18"/>
  <c r="Q44" i="18"/>
  <c r="M40" i="18"/>
  <c r="M41" i="18"/>
  <c r="E42" i="18"/>
  <c r="F42" i="18" s="1"/>
  <c r="I59" i="18"/>
  <c r="E54" i="18"/>
  <c r="F54" i="18" s="1"/>
  <c r="E58" i="18"/>
  <c r="F58" i="18" s="1"/>
  <c r="O67" i="18"/>
  <c r="E64" i="18"/>
  <c r="F64" i="18" s="1"/>
  <c r="G64" i="18" s="1"/>
  <c r="P14" i="21"/>
  <c r="L29" i="18"/>
  <c r="M26" i="18"/>
  <c r="E28" i="18"/>
  <c r="F28" i="18" s="1"/>
  <c r="G28" i="18" s="1"/>
  <c r="E41" i="18"/>
  <c r="F41" i="18" s="1"/>
  <c r="G41" i="18" s="1"/>
  <c r="K59" i="18"/>
  <c r="M53" i="18"/>
  <c r="M56" i="18"/>
  <c r="Q67" i="18"/>
  <c r="K7" i="21"/>
  <c r="K20" i="21"/>
  <c r="P26" i="21"/>
  <c r="P23" i="21"/>
  <c r="V14" i="21"/>
  <c r="U37" i="21"/>
  <c r="K38" i="21"/>
  <c r="V49" i="21"/>
  <c r="E55" i="21"/>
  <c r="F55" i="21" s="1"/>
  <c r="K15" i="21"/>
  <c r="K18" i="21"/>
  <c r="E20" i="21"/>
  <c r="F20" i="21" s="1"/>
  <c r="K31" i="21"/>
  <c r="K52" i="21"/>
  <c r="E57" i="21"/>
  <c r="F57" i="21" s="1"/>
  <c r="E27" i="18"/>
  <c r="F27" i="18" s="1"/>
  <c r="H27" i="18" s="1"/>
  <c r="M39" i="18"/>
  <c r="M45" i="18"/>
  <c r="L59" i="18"/>
  <c r="E54" i="21"/>
  <c r="F54" i="21" s="1"/>
  <c r="V54" i="21"/>
  <c r="V65" i="21"/>
  <c r="M43" i="18"/>
  <c r="J51" i="18"/>
  <c r="E46" i="18"/>
  <c r="F46" i="18" s="1"/>
  <c r="M49" i="18"/>
  <c r="E52" i="18"/>
  <c r="F52" i="18" s="1"/>
  <c r="V42" i="21"/>
  <c r="V48" i="21"/>
  <c r="J7" i="21"/>
  <c r="P16" i="21"/>
  <c r="P18" i="21"/>
  <c r="P19" i="21"/>
  <c r="K26" i="21"/>
  <c r="K28" i="21"/>
  <c r="K32" i="21"/>
  <c r="E34" i="21"/>
  <c r="F34" i="21" s="1"/>
  <c r="P38" i="21"/>
  <c r="H51" i="21"/>
  <c r="Q29" i="18"/>
  <c r="E26" i="18"/>
  <c r="F26" i="18" s="1"/>
  <c r="H26" i="18" s="1"/>
  <c r="I44" i="18"/>
  <c r="K51" i="18"/>
  <c r="E50" i="18"/>
  <c r="F50" i="18" s="1"/>
  <c r="G50" i="18" s="1"/>
  <c r="O59" i="18"/>
  <c r="M55" i="18"/>
  <c r="E57" i="18"/>
  <c r="F57" i="18" s="1"/>
  <c r="E63" i="18"/>
  <c r="F63" i="18" s="1"/>
  <c r="G63" i="18" s="1"/>
  <c r="E15" i="18"/>
  <c r="F15" i="18" s="1"/>
  <c r="E32" i="18"/>
  <c r="F32" i="18" s="1"/>
  <c r="H32" i="18" s="1"/>
  <c r="E62" i="18"/>
  <c r="F62" i="18" s="1"/>
  <c r="G62" i="18" s="1"/>
  <c r="M65" i="18"/>
  <c r="K54" i="21"/>
  <c r="K58" i="21"/>
  <c r="E61" i="21"/>
  <c r="F61" i="21" s="1"/>
  <c r="U29" i="21"/>
  <c r="V24" i="21"/>
  <c r="M37" i="21"/>
  <c r="K41" i="21"/>
  <c r="I51" i="21"/>
  <c r="V60" i="21"/>
  <c r="I21" i="18"/>
  <c r="L21" i="18"/>
  <c r="M18" i="18"/>
  <c r="M38" i="18"/>
  <c r="Q59" i="18"/>
  <c r="I67" i="18"/>
  <c r="Q8" i="15"/>
  <c r="Q4" i="15"/>
  <c r="G29" i="21"/>
  <c r="K22" i="21"/>
  <c r="V31" i="21"/>
  <c r="Q37" i="21"/>
  <c r="P31" i="21"/>
  <c r="V33" i="21"/>
  <c r="P33" i="21"/>
  <c r="G44" i="21"/>
  <c r="K39" i="21"/>
  <c r="P41" i="21"/>
  <c r="P17" i="21"/>
  <c r="V17" i="21"/>
  <c r="U21" i="21"/>
  <c r="N21" i="21"/>
  <c r="K14" i="21"/>
  <c r="O21" i="21"/>
  <c r="E19" i="21"/>
  <c r="F19" i="21" s="1"/>
  <c r="O37" i="21"/>
  <c r="T37" i="21"/>
  <c r="K49" i="21"/>
  <c r="G15" i="18"/>
  <c r="H15" i="18"/>
  <c r="G33" i="18"/>
  <c r="G21" i="21"/>
  <c r="V23" i="21"/>
  <c r="Q29" i="21"/>
  <c r="E23" i="21"/>
  <c r="F23" i="21" s="1"/>
  <c r="V43" i="21"/>
  <c r="P43" i="21"/>
  <c r="P48" i="21"/>
  <c r="V13" i="21"/>
  <c r="Q21" i="21"/>
  <c r="K19" i="21"/>
  <c r="H21" i="21"/>
  <c r="R29" i="21"/>
  <c r="V30" i="21"/>
  <c r="E40" i="21"/>
  <c r="F40" i="21" s="1"/>
  <c r="V40" i="21"/>
  <c r="E47" i="21"/>
  <c r="F47" i="21" s="1"/>
  <c r="V47" i="21"/>
  <c r="H14" i="18"/>
  <c r="G14" i="18"/>
  <c r="F13" i="21"/>
  <c r="P22" i="21"/>
  <c r="S29" i="21"/>
  <c r="V22" i="21"/>
  <c r="P25" i="21"/>
  <c r="V25" i="21"/>
  <c r="E31" i="21"/>
  <c r="F31" i="21" s="1"/>
  <c r="V36" i="21"/>
  <c r="M44" i="21"/>
  <c r="R44" i="21"/>
  <c r="P60" i="21"/>
  <c r="G19" i="18"/>
  <c r="H19" i="18"/>
  <c r="K17" i="21"/>
  <c r="E14" i="21"/>
  <c r="F14" i="21" s="1"/>
  <c r="R21" i="21"/>
  <c r="P15" i="21"/>
  <c r="V15" i="21"/>
  <c r="S21" i="21"/>
  <c r="O29" i="21"/>
  <c r="T29" i="21"/>
  <c r="G37" i="21"/>
  <c r="K30" i="21"/>
  <c r="E33" i="21"/>
  <c r="F33" i="21" s="1"/>
  <c r="E27" i="21"/>
  <c r="F27" i="21" s="1"/>
  <c r="E63" i="21"/>
  <c r="F63" i="21" s="1"/>
  <c r="N67" i="21"/>
  <c r="E28" i="21"/>
  <c r="F28" i="21" s="1"/>
  <c r="P28" i="21"/>
  <c r="V28" i="21"/>
  <c r="I37" i="21"/>
  <c r="K33" i="21"/>
  <c r="E43" i="21"/>
  <c r="F43" i="21" s="1"/>
  <c r="R51" i="21"/>
  <c r="E62" i="21"/>
  <c r="F62" i="21" s="1"/>
  <c r="G18" i="18"/>
  <c r="G23" i="18"/>
  <c r="P20" i="21"/>
  <c r="V20" i="21"/>
  <c r="R37" i="21"/>
  <c r="P39" i="21"/>
  <c r="E39" i="21"/>
  <c r="F39" i="21" s="1"/>
  <c r="T44" i="21"/>
  <c r="E46" i="21"/>
  <c r="F46" i="21" s="1"/>
  <c r="O51" i="21"/>
  <c r="T51" i="21"/>
  <c r="S51" i="21"/>
  <c r="N51" i="21"/>
  <c r="V27" i="21"/>
  <c r="K42" i="21"/>
  <c r="E15" i="21"/>
  <c r="F15" i="21" s="1"/>
  <c r="E25" i="21"/>
  <c r="F25" i="21" s="1"/>
  <c r="K27" i="21"/>
  <c r="E30" i="21"/>
  <c r="Q44" i="21"/>
  <c r="V46" i="21"/>
  <c r="E17" i="21"/>
  <c r="F17" i="21" s="1"/>
  <c r="P36" i="21"/>
  <c r="H44" i="21"/>
  <c r="G51" i="21"/>
  <c r="K46" i="21"/>
  <c r="L67" i="21"/>
  <c r="E64" i="21"/>
  <c r="F64" i="21" s="1"/>
  <c r="M13" i="18"/>
  <c r="F22" i="18"/>
  <c r="J29" i="21"/>
  <c r="O29" i="18"/>
  <c r="J37" i="18"/>
  <c r="M30" i="18"/>
  <c r="H42" i="18"/>
  <c r="G42" i="18"/>
  <c r="K25" i="21"/>
  <c r="S37" i="21"/>
  <c r="P49" i="21"/>
  <c r="T59" i="21"/>
  <c r="M67" i="21"/>
  <c r="V64" i="21"/>
  <c r="P66" i="21"/>
  <c r="E26" i="21"/>
  <c r="F26" i="21" s="1"/>
  <c r="V26" i="21"/>
  <c r="P27" i="21"/>
  <c r="V38" i="21"/>
  <c r="E41" i="21"/>
  <c r="F41" i="21" s="1"/>
  <c r="K47" i="21"/>
  <c r="E52" i="21"/>
  <c r="N59" i="21"/>
  <c r="V61" i="21"/>
  <c r="K64" i="21"/>
  <c r="E65" i="21"/>
  <c r="F65" i="21" s="1"/>
  <c r="O21" i="18"/>
  <c r="H34" i="18"/>
  <c r="G34" i="18"/>
  <c r="P21" i="18"/>
  <c r="N37" i="21"/>
  <c r="V34" i="21"/>
  <c r="V35" i="21"/>
  <c r="P35" i="21"/>
  <c r="P42" i="21"/>
  <c r="P45" i="21"/>
  <c r="I21" i="21"/>
  <c r="E32" i="21"/>
  <c r="F32" i="21" s="1"/>
  <c r="E35" i="21"/>
  <c r="F35" i="21" s="1"/>
  <c r="V45" i="21"/>
  <c r="Q51" i="21"/>
  <c r="Q21" i="18"/>
  <c r="K21" i="18"/>
  <c r="E38" i="18"/>
  <c r="N44" i="18"/>
  <c r="E24" i="21"/>
  <c r="F24" i="21" s="1"/>
  <c r="E45" i="21"/>
  <c r="V56" i="21"/>
  <c r="V57" i="21"/>
  <c r="V62" i="21"/>
  <c r="E13" i="18"/>
  <c r="G24" i="18"/>
  <c r="M25" i="18"/>
  <c r="E36" i="21"/>
  <c r="F36" i="21" s="1"/>
  <c r="E42" i="21"/>
  <c r="F42" i="21" s="1"/>
  <c r="I59" i="21"/>
  <c r="P55" i="21"/>
  <c r="I67" i="21"/>
  <c r="E66" i="21"/>
  <c r="F66" i="21" s="1"/>
  <c r="S67" i="21"/>
  <c r="G32" i="18"/>
  <c r="V52" i="21"/>
  <c r="P54" i="21"/>
  <c r="G59" i="21"/>
  <c r="G67" i="21"/>
  <c r="O67" i="21"/>
  <c r="Q67" i="21"/>
  <c r="J21" i="21"/>
  <c r="K13" i="21"/>
  <c r="V19" i="21"/>
  <c r="T21" i="21"/>
  <c r="E22" i="21"/>
  <c r="P34" i="21"/>
  <c r="J67" i="21"/>
  <c r="V66" i="21"/>
  <c r="E50" i="21"/>
  <c r="F50" i="21" s="1"/>
  <c r="V50" i="21"/>
  <c r="K57" i="21"/>
  <c r="H67" i="21"/>
  <c r="P64" i="21"/>
  <c r="J29" i="18"/>
  <c r="H39" i="18"/>
  <c r="G39" i="18"/>
  <c r="K50" i="21"/>
  <c r="V55" i="21"/>
  <c r="P56" i="21"/>
  <c r="E58" i="21"/>
  <c r="F58" i="21" s="1"/>
  <c r="Q59" i="21"/>
  <c r="M14" i="18"/>
  <c r="E17" i="18"/>
  <c r="F17" i="18" s="1"/>
  <c r="N29" i="18"/>
  <c r="L59" i="21"/>
  <c r="K61" i="21"/>
  <c r="E16" i="18"/>
  <c r="F16" i="18" s="1"/>
  <c r="U67" i="21"/>
  <c r="V63" i="21"/>
  <c r="E20" i="18"/>
  <c r="F20" i="18" s="1"/>
  <c r="H57" i="18"/>
  <c r="G57" i="18"/>
  <c r="H63" i="18"/>
  <c r="H65" i="18"/>
  <c r="G65" i="18"/>
  <c r="V39" i="21"/>
  <c r="J51" i="21"/>
  <c r="M31" i="18"/>
  <c r="M33" i="18"/>
  <c r="G56" i="18"/>
  <c r="H56" i="18"/>
  <c r="N51" i="18"/>
  <c r="M16" i="18"/>
  <c r="H49" i="18"/>
  <c r="H66" i="18"/>
  <c r="G66" i="18"/>
  <c r="E40" i="18"/>
  <c r="F40" i="18" s="1"/>
  <c r="H47" i="18"/>
  <c r="G47" i="18"/>
  <c r="H61" i="18"/>
  <c r="G61" i="18"/>
  <c r="M22" i="18"/>
  <c r="I29" i="18"/>
  <c r="M28" i="18"/>
  <c r="J44" i="18"/>
  <c r="M47" i="18"/>
  <c r="M19" i="18"/>
  <c r="K29" i="18"/>
  <c r="G36" i="18"/>
  <c r="L44" i="18"/>
  <c r="H54" i="18"/>
  <c r="G54" i="18"/>
  <c r="H58" i="18"/>
  <c r="G58" i="18"/>
  <c r="H64" i="18"/>
  <c r="M59" i="18"/>
  <c r="Q37" i="18"/>
  <c r="I37" i="18"/>
  <c r="O44" i="18"/>
  <c r="E45" i="18"/>
  <c r="M36" i="18"/>
  <c r="P44" i="18"/>
  <c r="M42" i="18"/>
  <c r="O44" i="21"/>
  <c r="V41" i="21"/>
  <c r="V53" i="21"/>
  <c r="P29" i="18"/>
  <c r="M34" i="18"/>
  <c r="E43" i="18"/>
  <c r="F43" i="18" s="1"/>
  <c r="H46" i="18"/>
  <c r="G46" i="18"/>
  <c r="N59" i="18"/>
  <c r="M60" i="18"/>
  <c r="K44" i="18"/>
  <c r="I51" i="18"/>
  <c r="N37" i="18"/>
  <c r="E30" i="18"/>
  <c r="G53" i="18"/>
  <c r="E60" i="18"/>
  <c r="J59" i="18"/>
  <c r="Q2" i="15"/>
  <c r="G2" i="15"/>
  <c r="D2" i="15" s="1"/>
  <c r="B6" i="24"/>
  <c r="B9" i="24"/>
  <c r="B2" i="24"/>
  <c r="B7" i="24"/>
  <c r="B10" i="24"/>
  <c r="B4" i="24"/>
  <c r="B8" i="24"/>
  <c r="B3" i="24"/>
  <c r="P63" i="21" l="1"/>
  <c r="M67" i="18"/>
  <c r="G27" i="18"/>
  <c r="E59" i="18"/>
  <c r="F59" i="18" s="1"/>
  <c r="H59" i="18" s="1"/>
  <c r="H28" i="18"/>
  <c r="M51" i="18"/>
  <c r="H25" i="18"/>
  <c r="E29" i="18"/>
  <c r="F29" i="18" s="1"/>
  <c r="H29" i="18" s="1"/>
  <c r="H62" i="18"/>
  <c r="N44" i="21"/>
  <c r="K59" i="21"/>
  <c r="M44" i="18"/>
  <c r="H50" i="18"/>
  <c r="G55" i="18"/>
  <c r="L12" i="18"/>
  <c r="P46" i="21"/>
  <c r="M21" i="21"/>
  <c r="G48" i="18"/>
  <c r="I12" i="18"/>
  <c r="I6" i="18" s="1"/>
  <c r="H41" i="18"/>
  <c r="M59" i="21"/>
  <c r="P32" i="21"/>
  <c r="P50" i="21"/>
  <c r="M29" i="18"/>
  <c r="H31" i="18"/>
  <c r="K51" i="21"/>
  <c r="P57" i="21"/>
  <c r="K44" i="21"/>
  <c r="V59" i="21"/>
  <c r="G35" i="18"/>
  <c r="H35" i="18"/>
  <c r="K67" i="21"/>
  <c r="V44" i="21"/>
  <c r="J12" i="18"/>
  <c r="J6" i="18" s="1"/>
  <c r="G26" i="18"/>
  <c r="P61" i="21"/>
  <c r="I7" i="18"/>
  <c r="H40" i="18"/>
  <c r="G40" i="18"/>
  <c r="E44" i="18"/>
  <c r="F44" i="18" s="1"/>
  <c r="H44" i="18" s="1"/>
  <c r="F38" i="18"/>
  <c r="E44" i="21"/>
  <c r="F44" i="21" s="1"/>
  <c r="P62" i="21"/>
  <c r="M37" i="18"/>
  <c r="G16" i="18"/>
  <c r="H16" i="18"/>
  <c r="P29" i="21"/>
  <c r="K37" i="21"/>
  <c r="F52" i="21"/>
  <c r="E59" i="21"/>
  <c r="F59" i="21" s="1"/>
  <c r="N29" i="21"/>
  <c r="P40" i="21"/>
  <c r="P44" i="21" s="1"/>
  <c r="K12" i="18"/>
  <c r="L44" i="21"/>
  <c r="L29" i="21"/>
  <c r="H52" i="18"/>
  <c r="G52" i="18"/>
  <c r="P52" i="21"/>
  <c r="P59" i="21" s="1"/>
  <c r="E29" i="21"/>
  <c r="F29" i="21" s="1"/>
  <c r="F22" i="21"/>
  <c r="Q12" i="18"/>
  <c r="E21" i="21"/>
  <c r="E51" i="18"/>
  <c r="F51" i="18" s="1"/>
  <c r="H51" i="18" s="1"/>
  <c r="F45" i="18"/>
  <c r="N12" i="18"/>
  <c r="E67" i="21"/>
  <c r="F67" i="21" s="1"/>
  <c r="T12" i="21"/>
  <c r="F13" i="18"/>
  <c r="E21" i="18"/>
  <c r="V51" i="21"/>
  <c r="O12" i="21"/>
  <c r="V37" i="21"/>
  <c r="P12" i="18"/>
  <c r="P30" i="21"/>
  <c r="L37" i="21"/>
  <c r="S12" i="21"/>
  <c r="H12" i="21"/>
  <c r="V29" i="21"/>
  <c r="E67" i="18"/>
  <c r="F67" i="18" s="1"/>
  <c r="H67" i="18" s="1"/>
  <c r="F60" i="18"/>
  <c r="G43" i="18"/>
  <c r="H43" i="18"/>
  <c r="H17" i="18"/>
  <c r="G17" i="18"/>
  <c r="N7" i="21"/>
  <c r="K21" i="21"/>
  <c r="G22" i="18"/>
  <c r="H22" i="18"/>
  <c r="K29" i="21"/>
  <c r="J12" i="21"/>
  <c r="M21" i="18"/>
  <c r="E37" i="21"/>
  <c r="F37" i="21" s="1"/>
  <c r="F30" i="21"/>
  <c r="V21" i="21"/>
  <c r="Q12" i="21"/>
  <c r="G12" i="21"/>
  <c r="U12" i="21"/>
  <c r="F30" i="18"/>
  <c r="E37" i="18"/>
  <c r="F37" i="18" s="1"/>
  <c r="H37" i="18" s="1"/>
  <c r="V67" i="21"/>
  <c r="F45" i="21"/>
  <c r="E51" i="21"/>
  <c r="F51" i="21" s="1"/>
  <c r="I12" i="21"/>
  <c r="O12" i="18"/>
  <c r="R12" i="21"/>
  <c r="G20" i="18"/>
  <c r="H20" i="18"/>
  <c r="L51" i="21"/>
  <c r="P47" i="21"/>
  <c r="L21" i="21"/>
  <c r="P13" i="21"/>
  <c r="P21" i="21" s="1"/>
  <c r="M29" i="21"/>
  <c r="R6" i="15"/>
  <c r="S6" i="15" s="1"/>
  <c r="R8" i="15"/>
  <c r="S8" i="15" s="1"/>
  <c r="R2" i="15"/>
  <c r="S2" i="15" s="1"/>
  <c r="R7" i="15"/>
  <c r="S7" i="15" s="1"/>
  <c r="R4" i="15"/>
  <c r="S4" i="15" s="1"/>
  <c r="R5" i="15"/>
  <c r="S5" i="15" s="1"/>
  <c r="R3" i="15"/>
  <c r="S3" i="15" s="1"/>
  <c r="J7" i="18" l="1"/>
  <c r="L6" i="18"/>
  <c r="L7" i="18"/>
  <c r="P37" i="21"/>
  <c r="P67" i="21"/>
  <c r="N12" i="21"/>
  <c r="M12" i="21"/>
  <c r="P51" i="21"/>
  <c r="K12" i="21"/>
  <c r="V12" i="21"/>
  <c r="L6" i="21"/>
  <c r="M12" i="18"/>
  <c r="H60" i="18"/>
  <c r="G60" i="18"/>
  <c r="F21" i="18"/>
  <c r="H21" i="18" s="1"/>
  <c r="E12" i="18"/>
  <c r="F12" i="18" s="1"/>
  <c r="H12" i="18" s="1"/>
  <c r="M6" i="21"/>
  <c r="G13" i="18"/>
  <c r="H13" i="18"/>
  <c r="K6" i="21"/>
  <c r="L12" i="21"/>
  <c r="G30" i="18"/>
  <c r="H30" i="18"/>
  <c r="H45" i="18"/>
  <c r="G45" i="18"/>
  <c r="J6" i="21"/>
  <c r="F21" i="21"/>
  <c r="E12" i="21"/>
  <c r="F12" i="21" s="1"/>
  <c r="K7" i="18"/>
  <c r="K6" i="18"/>
  <c r="H38" i="18"/>
  <c r="G38" i="18"/>
  <c r="E34" i="15"/>
  <c r="C34" i="15" s="1"/>
  <c r="E13" i="15"/>
  <c r="C13" i="15" s="1"/>
  <c r="E35" i="15"/>
  <c r="C35" i="15" s="1"/>
  <c r="E14" i="15"/>
  <c r="C14" i="15" s="1"/>
  <c r="E11" i="15"/>
  <c r="C11" i="15" s="1"/>
  <c r="E24" i="15"/>
  <c r="C24" i="15" s="1"/>
  <c r="E9" i="15"/>
  <c r="C9" i="15" s="1"/>
  <c r="E39" i="15"/>
  <c r="C39" i="15" s="1"/>
  <c r="E22" i="15"/>
  <c r="C22" i="15" s="1"/>
  <c r="E3" i="15"/>
  <c r="C3" i="15" s="1"/>
  <c r="E20" i="15"/>
  <c r="C20" i="15" s="1"/>
  <c r="E38" i="15"/>
  <c r="C38" i="15" s="1"/>
  <c r="E15" i="15"/>
  <c r="C15" i="15" s="1"/>
  <c r="E37" i="15"/>
  <c r="C37" i="15" s="1"/>
  <c r="E2" i="15"/>
  <c r="C2" i="15" s="1"/>
  <c r="E5" i="15"/>
  <c r="C5" i="15" s="1"/>
  <c r="E17" i="15"/>
  <c r="C17" i="15" s="1"/>
  <c r="E6" i="15"/>
  <c r="C6" i="15" s="1"/>
  <c r="E8" i="15"/>
  <c r="C8" i="15" s="1"/>
  <c r="E36" i="15"/>
  <c r="C36" i="15" s="1"/>
  <c r="E46" i="15"/>
  <c r="C46" i="15" s="1"/>
  <c r="E47" i="15"/>
  <c r="C47" i="15" s="1"/>
  <c r="E44" i="15"/>
  <c r="C44" i="15" s="1"/>
  <c r="E29" i="15"/>
  <c r="C29" i="15" s="1"/>
  <c r="E23" i="15"/>
  <c r="C23" i="15" s="1"/>
  <c r="E48" i="15"/>
  <c r="C48" i="15" s="1"/>
  <c r="E45" i="15"/>
  <c r="C45" i="15" s="1"/>
  <c r="E27" i="15"/>
  <c r="C27" i="15" s="1"/>
  <c r="E31" i="15"/>
  <c r="C31" i="15" s="1"/>
  <c r="E28" i="15"/>
  <c r="C28" i="15" s="1"/>
  <c r="E4" i="15"/>
  <c r="C4" i="15" s="1"/>
  <c r="E32" i="15"/>
  <c r="C32" i="15" s="1"/>
  <c r="E33" i="15"/>
  <c r="C33" i="15" s="1"/>
  <c r="E30" i="15"/>
  <c r="C30" i="15" s="1"/>
  <c r="E18" i="15"/>
  <c r="C18" i="15" s="1"/>
  <c r="E21" i="15"/>
  <c r="C21" i="15" s="1"/>
  <c r="E49" i="15"/>
  <c r="C49" i="15" s="1"/>
  <c r="E19" i="15"/>
  <c r="C19" i="15" s="1"/>
  <c r="E16" i="15"/>
  <c r="C16" i="15" s="1"/>
  <c r="E10" i="15"/>
  <c r="C10" i="15" s="1"/>
  <c r="E26" i="15"/>
  <c r="C26" i="15" s="1"/>
  <c r="E7" i="15"/>
  <c r="C7" i="15" s="1"/>
  <c r="E12" i="15"/>
  <c r="C12" i="15" s="1"/>
  <c r="E43" i="15"/>
  <c r="C43" i="15" s="1"/>
  <c r="E40" i="15"/>
  <c r="C40" i="15" s="1"/>
  <c r="E25" i="15"/>
  <c r="C25" i="15" s="1"/>
  <c r="E41" i="15"/>
  <c r="C41" i="15" s="1"/>
  <c r="E42" i="15"/>
  <c r="C42" i="15" s="1"/>
  <c r="P12" i="21" l="1"/>
  <c r="N6" i="21"/>
  <c r="M7" i="18"/>
  <c r="M6" i="18"/>
</calcChain>
</file>

<file path=xl/sharedStrings.xml><?xml version="1.0" encoding="utf-8"?>
<sst xmlns="http://schemas.openxmlformats.org/spreadsheetml/2006/main" count="1133" uniqueCount="164">
  <si>
    <t xml:space="preserve"> </t>
  </si>
  <si>
    <t>渠道表现</t>
  </si>
  <si>
    <t>肥尾</t>
  </si>
  <si>
    <t>组别</t>
  </si>
  <si>
    <t>姓名</t>
  </si>
  <si>
    <t>任务指标</t>
  </si>
  <si>
    <t>中心合计</t>
  </si>
  <si>
    <t>第1组</t>
  </si>
  <si>
    <t>邝勇江</t>
  </si>
  <si>
    <t>汪礼君</t>
  </si>
  <si>
    <t>覃俊嘉</t>
  </si>
  <si>
    <t>杨刚</t>
  </si>
  <si>
    <t>尹志坚</t>
  </si>
  <si>
    <t>江炜</t>
  </si>
  <si>
    <t>陈斯达</t>
  </si>
  <si>
    <t>第2组</t>
  </si>
  <si>
    <t>李东明</t>
  </si>
  <si>
    <t>陈丽婷</t>
  </si>
  <si>
    <t>蔡浩杰</t>
  </si>
  <si>
    <t>黄桢桢</t>
  </si>
  <si>
    <t>王英旭</t>
  </si>
  <si>
    <t>聂敏华</t>
  </si>
  <si>
    <t>李志幸</t>
  </si>
  <si>
    <t>第3组</t>
  </si>
  <si>
    <t>蔡泽鑫</t>
  </si>
  <si>
    <t>吴奕涛</t>
  </si>
  <si>
    <t>陈伟鸿</t>
  </si>
  <si>
    <t>彭锡彬</t>
  </si>
  <si>
    <t>郭早慧</t>
  </si>
  <si>
    <t>蔡靖帆</t>
  </si>
  <si>
    <t>崔翔越</t>
  </si>
  <si>
    <t>第4组</t>
  </si>
  <si>
    <t>朱剑辉</t>
  </si>
  <si>
    <t>赵晨羽</t>
  </si>
  <si>
    <t>莫华霖</t>
  </si>
  <si>
    <t>钟景宜</t>
  </si>
  <si>
    <t>续卓</t>
  </si>
  <si>
    <t>吕锦文</t>
  </si>
  <si>
    <t>第5组</t>
  </si>
  <si>
    <t>张洁莹</t>
  </si>
  <si>
    <t>冯均弟</t>
  </si>
  <si>
    <t>梁嘉伦</t>
  </si>
  <si>
    <t>蔡海亮</t>
  </si>
  <si>
    <t>陈楚欣</t>
  </si>
  <si>
    <t>薛丹萍</t>
  </si>
  <si>
    <t>第6组</t>
  </si>
  <si>
    <t>罗雪莹</t>
  </si>
  <si>
    <t>樊秀颖</t>
  </si>
  <si>
    <t>苏莹</t>
  </si>
  <si>
    <t>邓敏杰</t>
  </si>
  <si>
    <t>曾志丹</t>
  </si>
  <si>
    <t>杨钻</t>
  </si>
  <si>
    <t>彭旭东</t>
  </si>
  <si>
    <t>第7组</t>
  </si>
  <si>
    <t>李培奇</t>
  </si>
  <si>
    <t>李玮</t>
  </si>
  <si>
    <t>陈昊</t>
  </si>
  <si>
    <t>麦祥洲</t>
  </si>
  <si>
    <t>杨子慧</t>
  </si>
  <si>
    <t>刘畅</t>
  </si>
  <si>
    <t>第8组</t>
  </si>
  <si>
    <t>朱玉珍</t>
  </si>
  <si>
    <t>江振杰</t>
  </si>
  <si>
    <t>欧阳真</t>
  </si>
  <si>
    <t>李定状</t>
  </si>
  <si>
    <t>迟海</t>
  </si>
  <si>
    <t>冯日田</t>
  </si>
  <si>
    <t>第9组</t>
  </si>
  <si>
    <t>谭伟梁</t>
  </si>
  <si>
    <t>郑卓毅</t>
  </si>
  <si>
    <t>方宁</t>
  </si>
  <si>
    <t>白建玉</t>
  </si>
  <si>
    <t>饶炜辉</t>
  </si>
  <si>
    <t>俞哨峰</t>
  </si>
  <si>
    <t>员工姓名</t>
  </si>
  <si>
    <t>当期添加人数</t>
  </si>
  <si>
    <t>当周添加人数</t>
  </si>
  <si>
    <t>剪刀差</t>
  </si>
  <si>
    <t>黎海山</t>
  </si>
  <si>
    <t>林日明</t>
  </si>
  <si>
    <t>肖瑞玲</t>
  </si>
  <si>
    <t>孔繁俊</t>
  </si>
  <si>
    <t xml:space="preserve">四季度重点客群添加重点任务卡攻坚活动
一、活动时间
2024年12月23日-2024年12月31日。
二、活动任务
直营经理管户连接重点客群新增2100户，其中每人日均添加6户以上，活动期间每人合计需添加42户。
本活动方案所指重点客群包括：肥尾客户（高剪刀差客户）、省分行下发的年末重点客群等。
三、考核方案
活动期间直营经理重点客群添加任务卡攻坚活动纳入直营经理考核评价体系【策略执行】部分，考核人日均添加，按线性插值法计分，得分区间[0，5]（0户对应0分，最高人日均对应5分）。
四、其他细项
（1）人日均添加计算休假期间视为正常工作日进行计算；
（2）拉黑删除客户每户按0.5户进行折算，场景二维码来源客户纳入考核计算；
</t>
  </si>
  <si>
    <t>10月产能冲刺专项统计表</t>
  </si>
  <si>
    <t>数据日期</t>
  </si>
  <si>
    <t xml:space="preserve"> 2024/10/31</t>
  </si>
  <si>
    <t>中心整体完成情况(31日)</t>
  </si>
  <si>
    <t>高正
挽回</t>
  </si>
  <si>
    <t>高负
激活</t>
  </si>
  <si>
    <t>一删
一加</t>
  </si>
  <si>
    <t>日产能</t>
  </si>
  <si>
    <r>
      <rPr>
        <b/>
        <sz val="12"/>
        <color rgb="FFC00000"/>
        <rFont val="微软雅黑"/>
        <family val="2"/>
        <charset val="134"/>
      </rPr>
      <t>⭐⭐当日之星⭐⭐
莫华霖</t>
    </r>
    <r>
      <rPr>
        <sz val="12"/>
        <color rgb="FFC00000"/>
        <rFont val="微软雅黑"/>
        <family val="2"/>
        <charset val="134"/>
      </rPr>
      <t>（第7组） 510.8万
领跑小组✨：
第7组 829.7万
还需努力☕：
第2组 410.4万</t>
    </r>
  </si>
  <si>
    <t>产能</t>
  </si>
  <si>
    <t>产能比</t>
  </si>
  <si>
    <t>考核产能比</t>
  </si>
  <si>
    <t>上日完成情况</t>
  </si>
  <si>
    <t>全省</t>
  </si>
  <si>
    <t>较上日指示灯</t>
  </si>
  <si>
    <t>广州</t>
  </si>
  <si>
    <t>未破零人数</t>
  </si>
  <si>
    <t>距20%目标</t>
  </si>
  <si>
    <t>——</t>
  </si>
  <si>
    <t>当日客单价</t>
  </si>
  <si>
    <t>当日</t>
  </si>
  <si>
    <t>当周</t>
  </si>
  <si>
    <t>当月（10日以后）</t>
  </si>
  <si>
    <t>任务
完成数</t>
  </si>
  <si>
    <t>任务
完成率</t>
  </si>
  <si>
    <t>合计
产能</t>
  </si>
  <si>
    <t>负产能
转移</t>
  </si>
  <si>
    <t>备注</t>
  </si>
  <si>
    <t>C列：任务指标（万元），按三季度产能增长，减去剪刀差递延数，中心合计2.3亿；</t>
  </si>
  <si>
    <t>D列：任务完成数，客户经理主动作为回收产能，当月数含新增剪刀差折算，当日统计数不含；</t>
  </si>
  <si>
    <t>-</t>
  </si>
  <si>
    <t>L列：由于剔除了部分与高正挽回重复的客户，故部分同事当周肥尾数不准确，暂不展示</t>
  </si>
  <si>
    <t>小组</t>
  </si>
  <si>
    <t>综合系数</t>
  </si>
  <si>
    <t>个人调节
系数</t>
  </si>
  <si>
    <t>小组调节
系数</t>
  </si>
  <si>
    <t>保险样板间
系数</t>
  </si>
  <si>
    <t>日均添加</t>
  </si>
  <si>
    <t>重点客户加权添加
（17日后）</t>
  </si>
  <si>
    <t>天数</t>
  </si>
  <si>
    <t>请休假天数</t>
  </si>
  <si>
    <t>实际工作天数</t>
  </si>
  <si>
    <t>17日至今工作日天数</t>
  </si>
  <si>
    <t>日均</t>
  </si>
  <si>
    <t>排名</t>
  </si>
  <si>
    <t>调节系数</t>
  </si>
  <si>
    <t>组人日均添加排名</t>
  </si>
  <si>
    <t>保险样板间系数</t>
  </si>
  <si>
    <t>郭嫚</t>
  </si>
  <si>
    <t>负产能转移激活成效，人、万元</t>
  </si>
  <si>
    <t>操作人数</t>
  </si>
  <si>
    <t>预计提升AUM</t>
  </si>
  <si>
    <t>成功人数</t>
  </si>
  <si>
    <t>实收AUM</t>
  </si>
  <si>
    <t>成功率</t>
  </si>
  <si>
    <t>产能回收率</t>
  </si>
  <si>
    <t>合计</t>
  </si>
  <si>
    <t>广开系统转移</t>
  </si>
  <si>
    <t xml:space="preserve"> 2024/10/27</t>
  </si>
  <si>
    <t>中心整体完成情况(27日)</t>
  </si>
  <si>
    <r>
      <rPr>
        <b/>
        <sz val="12"/>
        <color rgb="FFC00000"/>
        <rFont val="微软雅黑"/>
        <family val="2"/>
        <charset val="134"/>
      </rPr>
      <t>⭐⭐当日之星⭐⭐
李东明</t>
    </r>
    <r>
      <rPr>
        <sz val="12"/>
        <color rgb="FFC00000"/>
        <rFont val="微软雅黑"/>
        <family val="2"/>
        <charset val="134"/>
      </rPr>
      <t>（第2组） 474万
领跑小组✨：
第2组 704.7万
还需努力☕：
第6组 79.1万</t>
    </r>
  </si>
  <si>
    <t>客单价</t>
  </si>
  <si>
    <t>考核
完成率</t>
  </si>
  <si>
    <t>时序进度</t>
  </si>
  <si>
    <t>综合加权系数</t>
  </si>
  <si>
    <t>—</t>
  </si>
  <si>
    <t>F列：考核完成率=任务完成率*个人调节系数*小组调节系数*保险样板间系数；</t>
  </si>
  <si>
    <t>R列：按三个系数（个人、小组、保险样板间）连乘；</t>
  </si>
  <si>
    <r>
      <rPr>
        <sz val="11"/>
        <color theme="1"/>
        <rFont val="微软雅黑"/>
        <family val="2"/>
        <charset val="134"/>
      </rPr>
      <t xml:space="preserve">10月“冲刺20%”产能提升任务卡攻坚活动
</t>
    </r>
    <r>
      <rPr>
        <b/>
        <sz val="11"/>
        <color theme="1"/>
        <rFont val="微软雅黑"/>
        <family val="2"/>
        <charset val="134"/>
      </rPr>
      <t xml:space="preserve">
一、活动时间</t>
    </r>
    <r>
      <rPr>
        <sz val="11"/>
        <color theme="1"/>
        <rFont val="微软雅黑"/>
        <family val="2"/>
        <charset val="134"/>
      </rPr>
      <t xml:space="preserve">
2024年10月17日-2024年10月31日。
</t>
    </r>
    <r>
      <rPr>
        <b/>
        <sz val="11"/>
        <color theme="1"/>
        <rFont val="微软雅黑"/>
        <family val="2"/>
        <charset val="134"/>
      </rPr>
      <t>二、活动任务</t>
    </r>
    <r>
      <rPr>
        <sz val="11"/>
        <color theme="1"/>
        <rFont val="微软雅黑"/>
        <family val="2"/>
        <charset val="134"/>
      </rPr>
      <t xml:space="preserve">
活动期间产能新增2.3亿元，10月31日达成考核产能比20%任务目标。
1.本方案所指产能均为剔除内部调整及高潜后的数据。
2.产能任务不含自身客户剪刀差递延。
3.任务分解规则：任务占比=三季度产能增长（剔除每月月初剪刀差递延影响）占比*30%+客户数占比*70%
</t>
    </r>
    <r>
      <rPr>
        <b/>
        <sz val="11"/>
        <color theme="1"/>
        <rFont val="微软雅黑"/>
        <family val="2"/>
        <charset val="134"/>
      </rPr>
      <t>三、考核方案</t>
    </r>
    <r>
      <rPr>
        <sz val="11"/>
        <color theme="1"/>
        <rFont val="微软雅黑"/>
        <family val="2"/>
        <charset val="134"/>
      </rPr>
      <t xml:space="preserve">
活动期间直营经理产能提升任务卡攻坚活动纳入直营经理考核评价体系【策略执行】部分，分值为[-20,20],考核活动期间直营经理产能完成率，具体规则如下：
（1）考核完成率≥100%，按线性插值法计分，得分区间[0,20]；
（2）80%≤考核完成率＜100%，按线性插值法计分，得分区间[-5, 0]；
（3）50%≤考核完成率＜80%，按线性插值法计分，得分区间[-15,-5]；
（4）考核完成率＜50%，得-20分；
</t>
    </r>
  </si>
  <si>
    <t>平均剪刀差</t>
  </si>
  <si>
    <t>10月考核剔除数</t>
  </si>
  <si>
    <t>三季度产能新增</t>
  </si>
  <si>
    <t>月初剪刀差递延产能</t>
  </si>
  <si>
    <t>产能主动新增</t>
  </si>
  <si>
    <t>新增产能占比</t>
  </si>
  <si>
    <t>930客户数</t>
  </si>
  <si>
    <t>客户数占比</t>
  </si>
  <si>
    <t>加权占比</t>
  </si>
  <si>
    <t>最终任务</t>
  </si>
  <si>
    <t>grp</t>
    <phoneticPr fontId="28" type="noConversion"/>
  </si>
  <si>
    <t>emp</t>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</si>
</sst>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_);[Red]\(0.0\)"/>
    <numFmt numFmtId="178" formatCode="0.0%"/>
    <numFmt numFmtId="179" formatCode="0.0_ "/>
    <numFmt numFmtId="180" formatCode="0.00_);[Red]\(0.00\)"/>
    <numFmt numFmtId="181" formatCode="#,##0.0"/>
  </numFmts>
  <fonts count="29" x14ac:knownFonts="1">
    <font>
      <sz val="11"/>
      <color theme="1"/>
      <name val="宋体"/>
      <charset val="134"/>
      <scheme val="minor"/>
    </font>
    <font>
      <sz val="12"/>
      <color theme="1"/>
      <name val="彩虹粗仿宋"/>
      <family val="4"/>
      <charset val="134"/>
    </font>
    <font>
      <b/>
      <sz val="12"/>
      <color rgb="FFFF0000"/>
      <name val="彩虹粗仿宋"/>
      <family val="4"/>
      <charset val="134"/>
    </font>
    <font>
      <sz val="16"/>
      <color rgb="FF454545"/>
      <name val="微软雅黑"/>
      <family val="2"/>
      <charset val="134"/>
    </font>
    <font>
      <b/>
      <sz val="16"/>
      <color rgb="FFFF0000"/>
      <name val="微软雅黑"/>
      <family val="2"/>
      <charset val="134"/>
    </font>
    <font>
      <sz val="16"/>
      <color theme="1"/>
      <name val="微软雅黑"/>
      <family val="2"/>
      <charset val="134"/>
    </font>
    <font>
      <sz val="11"/>
      <color theme="1"/>
      <name val="微软雅黑"/>
      <family val="2"/>
      <charset val="134"/>
    </font>
    <font>
      <sz val="20"/>
      <color theme="1"/>
      <name val="宋体"/>
      <family val="3"/>
      <charset val="134"/>
      <scheme val="minor"/>
    </font>
    <font>
      <sz val="11"/>
      <color theme="1"/>
      <name val="黑体"/>
      <family val="3"/>
      <charset val="134"/>
    </font>
    <font>
      <sz val="11"/>
      <color theme="1"/>
      <name val="楷体"/>
      <family val="3"/>
      <charset val="134"/>
    </font>
    <font>
      <b/>
      <sz val="20"/>
      <color theme="1"/>
      <name val="微软雅黑"/>
      <family val="2"/>
      <charset val="134"/>
    </font>
    <font>
      <b/>
      <sz val="12"/>
      <color theme="1"/>
      <name val="微软雅黑"/>
      <family val="2"/>
      <charset val="134"/>
    </font>
    <font>
      <b/>
      <sz val="14"/>
      <color theme="1"/>
      <name val="宋体"/>
      <family val="3"/>
      <charset val="134"/>
      <scheme val="minor"/>
    </font>
    <font>
      <sz val="12"/>
      <color theme="1"/>
      <name val="微软雅黑"/>
      <family val="2"/>
      <charset val="134"/>
    </font>
    <font>
      <b/>
      <sz val="11"/>
      <color theme="1"/>
      <name val="微软雅黑"/>
      <family val="2"/>
      <charset val="134"/>
    </font>
    <font>
      <b/>
      <sz val="12"/>
      <color rgb="FFC00000"/>
      <name val="微软雅黑"/>
      <family val="2"/>
      <charset val="134"/>
    </font>
    <font>
      <sz val="20"/>
      <color theme="1"/>
      <name val="楷体"/>
      <family val="3"/>
      <charset val="134"/>
    </font>
    <font>
      <sz val="10"/>
      <color theme="1"/>
      <name val="Tahoma"/>
      <family val="2"/>
    </font>
    <font>
      <sz val="20"/>
      <color theme="1"/>
      <name val="彩虹小标宋"/>
      <family val="4"/>
      <charset val="134"/>
    </font>
    <font>
      <sz val="16"/>
      <color rgb="FF333333"/>
      <name val="彩虹粗仿宋"/>
      <family val="4"/>
      <charset val="134"/>
    </font>
    <font>
      <sz val="16"/>
      <color theme="1"/>
      <name val="彩虹粗仿宋"/>
      <family val="4"/>
      <charset val="134"/>
    </font>
    <font>
      <sz val="16"/>
      <color rgb="FF454545"/>
      <name val="彩虹粗仿宋"/>
      <family val="4"/>
      <charset val="134"/>
    </font>
    <font>
      <sz val="14"/>
      <color theme="1"/>
      <name val="微软雅黑"/>
      <family val="2"/>
      <charset val="134"/>
    </font>
    <font>
      <sz val="14"/>
      <color theme="1"/>
      <name val="宋体"/>
      <family val="3"/>
      <charset val="134"/>
      <scheme val="minor"/>
    </font>
    <font>
      <b/>
      <sz val="14"/>
      <color theme="1"/>
      <name val="微软雅黑"/>
      <family val="2"/>
      <charset val="134"/>
    </font>
    <font>
      <sz val="11"/>
      <color theme="3" tint="-0.499984740745262"/>
      <name val="宋体"/>
      <family val="3"/>
      <charset val="134"/>
      <scheme val="minor"/>
    </font>
    <font>
      <sz val="12"/>
      <color rgb="FFC00000"/>
      <name val="微软雅黑"/>
      <family val="2"/>
      <charset val="134"/>
    </font>
    <font>
      <sz val="11"/>
      <color theme="1"/>
      <name val="宋体"/>
      <family val="3"/>
      <charset val="134"/>
      <scheme val="minor"/>
    </font>
    <font>
      <sz val="9"/>
      <name val="宋体"/>
      <family val="3"/>
      <charset val="134"/>
      <scheme val="minor"/>
    </font>
  </fonts>
  <fills count="1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79979857783745845"/>
        <bgColor indexed="64"/>
      </patternFill>
    </fill>
    <fill>
      <patternFill patternType="solid">
        <fgColor theme="0" tint="-0.14981536301767021"/>
        <bgColor indexed="64"/>
      </patternFill>
    </fill>
    <fill>
      <patternFill patternType="solid">
        <fgColor rgb="FFE7E5E5"/>
        <bgColor indexed="64"/>
      </patternFill>
    </fill>
    <fill>
      <patternFill patternType="solid">
        <fgColor theme="2"/>
        <bgColor indexed="64"/>
      </patternFill>
    </fill>
    <fill>
      <patternFill patternType="solid">
        <fgColor theme="4" tint="0.79979857783745845"/>
        <bgColor indexed="64"/>
      </patternFill>
    </fill>
    <fill>
      <patternFill patternType="solid">
        <fgColor theme="6" tint="0.7997985778374584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39979247413556324"/>
        <bgColor indexed="64"/>
      </patternFill>
    </fill>
    <fill>
      <patternFill patternType="solid">
        <fgColor theme="5" tint="0.39979247413556324"/>
        <bgColor indexed="64"/>
      </patternFill>
    </fill>
    <fill>
      <patternFill patternType="solid">
        <fgColor theme="0"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style="thin">
        <color auto="1"/>
      </right>
      <top/>
      <bottom/>
      <diagonal/>
    </border>
    <border>
      <left style="thin">
        <color auto="1"/>
      </left>
      <right/>
      <top/>
      <bottom/>
      <diagonal/>
    </border>
    <border>
      <left/>
      <right/>
      <top style="double">
        <color auto="1"/>
      </top>
      <bottom/>
      <diagonal/>
    </border>
    <border>
      <left style="medium">
        <color indexed="64"/>
      </left>
      <right/>
      <top/>
      <bottom/>
      <diagonal/>
    </border>
  </borders>
  <cellStyleXfs count="9">
    <xf numFmtId="0" fontId="0" fillId="0" borderId="0"/>
    <xf numFmtId="9" fontId="27" fillId="0" borderId="0" applyFont="0" applyFill="0" applyBorder="0" applyAlignment="0" applyProtection="0">
      <alignment vertical="center"/>
    </xf>
    <xf numFmtId="9" fontId="17" fillId="0" borderId="0" applyFont="0" applyFill="0" applyBorder="0" applyAlignment="0" applyProtection="0">
      <alignment vertical="center"/>
    </xf>
    <xf numFmtId="9" fontId="27" fillId="0" borderId="0" applyFont="0" applyFill="0" applyBorder="0" applyAlignment="0" applyProtection="0">
      <alignment vertical="center"/>
    </xf>
    <xf numFmtId="0" fontId="27" fillId="0" borderId="0"/>
    <xf numFmtId="0" fontId="27" fillId="0" borderId="0"/>
    <xf numFmtId="0" fontId="27" fillId="0" borderId="0">
      <alignment vertical="center"/>
    </xf>
    <xf numFmtId="0" fontId="17" fillId="0" borderId="0"/>
    <xf numFmtId="0" fontId="27" fillId="0" borderId="0">
      <alignment vertical="center"/>
    </xf>
  </cellStyleXfs>
  <cellXfs count="113">
    <xf numFmtId="0" fontId="0" fillId="0" borderId="0" xfId="0"/>
    <xf numFmtId="0" fontId="1" fillId="0" borderId="0" xfId="0" applyFont="1"/>
    <xf numFmtId="0" fontId="2" fillId="0" borderId="0" xfId="0" applyFont="1"/>
    <xf numFmtId="0" fontId="1" fillId="0" borderId="1" xfId="0" applyFont="1" applyBorder="1"/>
    <xf numFmtId="0" fontId="2" fillId="0" borderId="1" xfId="0" applyFont="1" applyBorder="1"/>
    <xf numFmtId="0" fontId="3" fillId="0" borderId="1" xfId="0" applyFont="1" applyBorder="1" applyAlignment="1">
      <alignment vertical="top"/>
    </xf>
    <xf numFmtId="2" fontId="4" fillId="0" borderId="1" xfId="0" applyNumberFormat="1" applyFont="1" applyBorder="1"/>
    <xf numFmtId="0" fontId="5" fillId="0" borderId="0" xfId="0" applyFont="1"/>
    <xf numFmtId="0" fontId="5" fillId="2" borderId="0" xfId="0" applyFont="1" applyFill="1"/>
    <xf numFmtId="176" fontId="5" fillId="0" borderId="0" xfId="0" applyNumberFormat="1" applyFont="1"/>
    <xf numFmtId="0" fontId="4" fillId="0" borderId="0" xfId="0" applyFont="1"/>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177" fontId="0" fillId="0" borderId="0" xfId="0" applyNumberFormat="1" applyAlignment="1">
      <alignment vertical="center"/>
    </xf>
    <xf numFmtId="0" fontId="0" fillId="0" borderId="0" xfId="0" applyAlignment="1">
      <alignment horizontal="center" vertical="center"/>
    </xf>
    <xf numFmtId="0" fontId="9" fillId="3" borderId="0" xfId="0" applyFont="1" applyFill="1" applyAlignment="1">
      <alignment vertical="center"/>
    </xf>
    <xf numFmtId="0" fontId="11" fillId="0" borderId="0" xfId="0" applyFont="1" applyAlignment="1">
      <alignment vertical="center"/>
    </xf>
    <xf numFmtId="14" fontId="11" fillId="0" borderId="0" xfId="0" applyNumberFormat="1" applyFont="1" applyAlignment="1">
      <alignment horizontal="center" vertical="center"/>
    </xf>
    <xf numFmtId="14" fontId="11" fillId="0" borderId="0" xfId="0" applyNumberFormat="1" applyFont="1" applyAlignment="1">
      <alignment horizontal="right" vertical="center"/>
    </xf>
    <xf numFmtId="0" fontId="11" fillId="4" borderId="1" xfId="0" applyFont="1" applyFill="1" applyBorder="1" applyAlignment="1">
      <alignment vertical="center"/>
    </xf>
    <xf numFmtId="0" fontId="11" fillId="4" borderId="1" xfId="0" applyFont="1" applyFill="1" applyBorder="1" applyAlignment="1">
      <alignment horizontal="center" vertical="center"/>
    </xf>
    <xf numFmtId="0" fontId="13" fillId="4" borderId="1" xfId="0" applyFont="1" applyFill="1" applyBorder="1" applyAlignment="1">
      <alignment vertical="center"/>
    </xf>
    <xf numFmtId="10" fontId="11" fillId="4" borderId="1" xfId="0" applyNumberFormat="1" applyFont="1" applyFill="1" applyBorder="1" applyAlignment="1">
      <alignment horizontal="center" vertical="center"/>
    </xf>
    <xf numFmtId="2" fontId="11" fillId="4" borderId="1" xfId="0" applyNumberFormat="1" applyFont="1" applyFill="1" applyBorder="1" applyAlignment="1">
      <alignment horizontal="center" vertical="center"/>
    </xf>
    <xf numFmtId="14" fontId="11" fillId="0" borderId="2" xfId="0" applyNumberFormat="1" applyFont="1" applyBorder="1" applyAlignment="1">
      <alignment horizontal="left" vertical="center"/>
    </xf>
    <xf numFmtId="0" fontId="11" fillId="0" borderId="2" xfId="0" applyFont="1" applyBorder="1" applyAlignment="1">
      <alignment horizontal="left" vertical="center"/>
    </xf>
    <xf numFmtId="0" fontId="8" fillId="0" borderId="0" xfId="0" applyFont="1" applyAlignment="1">
      <alignment horizontal="center" vertical="center"/>
    </xf>
    <xf numFmtId="0" fontId="6" fillId="0" borderId="0" xfId="0" applyFont="1" applyAlignment="1">
      <alignment horizontal="center" vertical="center" wrapText="1"/>
    </xf>
    <xf numFmtId="177" fontId="6" fillId="0" borderId="0" xfId="0" applyNumberFormat="1" applyFont="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horizontal="center" vertical="center" wrapText="1"/>
    </xf>
    <xf numFmtId="177" fontId="14" fillId="0" borderId="0" xfId="0" applyNumberFormat="1" applyFont="1" applyAlignment="1">
      <alignment horizontal="center" vertical="center" wrapText="1"/>
    </xf>
    <xf numFmtId="0" fontId="14" fillId="0" borderId="3" xfId="0" applyFont="1" applyBorder="1" applyAlignment="1">
      <alignment horizontal="center" vertical="center" wrapText="1"/>
    </xf>
    <xf numFmtId="0" fontId="14" fillId="5" borderId="0" xfId="0" applyFont="1" applyFill="1" applyAlignment="1">
      <alignment vertical="center" wrapText="1"/>
    </xf>
    <xf numFmtId="177" fontId="14" fillId="5" borderId="0" xfId="0" applyNumberFormat="1" applyFont="1" applyFill="1" applyAlignment="1">
      <alignment horizontal="center" vertical="center" wrapText="1"/>
    </xf>
    <xf numFmtId="178" fontId="14" fillId="5" borderId="0" xfId="1" applyNumberFormat="1" applyFont="1" applyFill="1" applyBorder="1" applyAlignment="1">
      <alignment horizontal="center" vertical="center" wrapText="1"/>
    </xf>
    <xf numFmtId="178" fontId="14" fillId="5" borderId="3" xfId="1" applyNumberFormat="1" applyFont="1" applyFill="1" applyBorder="1" applyAlignment="1">
      <alignment horizontal="center" vertical="center" wrapText="1"/>
    </xf>
    <xf numFmtId="0" fontId="6" fillId="0" borderId="0" xfId="0" applyFont="1" applyAlignment="1">
      <alignment horizontal="center" vertical="center"/>
    </xf>
    <xf numFmtId="177" fontId="6" fillId="0" borderId="0" xfId="0" applyNumberFormat="1" applyFont="1" applyAlignment="1">
      <alignment horizontal="center" vertical="center"/>
    </xf>
    <xf numFmtId="178" fontId="6" fillId="0" borderId="0" xfId="1" applyNumberFormat="1" applyFont="1" applyFill="1" applyBorder="1" applyAlignment="1">
      <alignment horizontal="center" vertical="center" wrapText="1"/>
    </xf>
    <xf numFmtId="178" fontId="6" fillId="0" borderId="3" xfId="1" applyNumberFormat="1" applyFont="1" applyFill="1" applyBorder="1" applyAlignment="1">
      <alignment horizontal="center" vertical="center" wrapText="1"/>
    </xf>
    <xf numFmtId="0" fontId="14" fillId="3" borderId="0" xfId="0" applyFont="1" applyFill="1" applyAlignment="1">
      <alignment horizontal="center" vertical="center"/>
    </xf>
    <xf numFmtId="177" fontId="14" fillId="3" borderId="0" xfId="0" applyNumberFormat="1" applyFont="1" applyFill="1" applyAlignment="1">
      <alignment horizontal="center" vertical="center"/>
    </xf>
    <xf numFmtId="178" fontId="14" fillId="3" borderId="0" xfId="1" applyNumberFormat="1" applyFont="1" applyFill="1" applyBorder="1" applyAlignment="1">
      <alignment horizontal="center" vertical="center" wrapText="1"/>
    </xf>
    <xf numFmtId="178" fontId="14" fillId="3" borderId="3" xfId="1" applyNumberFormat="1" applyFont="1" applyFill="1" applyBorder="1" applyAlignment="1">
      <alignment horizontal="center" vertical="center" wrapText="1"/>
    </xf>
    <xf numFmtId="0" fontId="14" fillId="0" borderId="1" xfId="0" applyFont="1" applyBorder="1" applyAlignment="1">
      <alignment horizontal="center" vertical="center" wrapText="1"/>
    </xf>
    <xf numFmtId="176" fontId="11" fillId="0" borderId="1" xfId="0" applyNumberFormat="1" applyFont="1" applyBorder="1" applyAlignment="1">
      <alignment horizontal="center" vertical="center"/>
    </xf>
    <xf numFmtId="0" fontId="11" fillId="0" borderId="0" xfId="0" applyFont="1" applyAlignment="1">
      <alignment horizontal="left" vertical="center"/>
    </xf>
    <xf numFmtId="9" fontId="11" fillId="0" borderId="1" xfId="1" applyFont="1" applyFill="1" applyBorder="1" applyAlignment="1">
      <alignment horizontal="center" vertical="center"/>
    </xf>
    <xf numFmtId="1" fontId="13" fillId="0" borderId="1" xfId="1" applyNumberFormat="1" applyFont="1" applyFill="1" applyBorder="1" applyAlignment="1">
      <alignment horizontal="center" vertical="center"/>
    </xf>
    <xf numFmtId="179" fontId="11" fillId="0" borderId="1" xfId="1"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177" fontId="14" fillId="5" borderId="3" xfId="0" applyNumberFormat="1" applyFont="1" applyFill="1" applyBorder="1" applyAlignment="1">
      <alignment horizontal="center" vertical="center" wrapText="1"/>
    </xf>
    <xf numFmtId="177" fontId="6" fillId="0" borderId="3" xfId="0" applyNumberFormat="1" applyFont="1" applyBorder="1" applyAlignment="1">
      <alignment horizontal="center" vertical="center"/>
    </xf>
    <xf numFmtId="177" fontId="14" fillId="3" borderId="3" xfId="0" applyNumberFormat="1" applyFont="1" applyFill="1" applyBorder="1" applyAlignment="1">
      <alignment horizontal="center" vertical="center"/>
    </xf>
    <xf numFmtId="0" fontId="16" fillId="3" borderId="0" xfId="0" applyFont="1" applyFill="1" applyAlignment="1">
      <alignment vertical="center"/>
    </xf>
    <xf numFmtId="0" fontId="8" fillId="3" borderId="0" xfId="0" applyFont="1" applyFill="1" applyAlignment="1">
      <alignment vertical="center"/>
    </xf>
    <xf numFmtId="0" fontId="14" fillId="0" borderId="4" xfId="0" applyFont="1" applyBorder="1" applyAlignment="1">
      <alignment horizontal="center" vertical="center" wrapText="1"/>
    </xf>
    <xf numFmtId="180" fontId="6" fillId="0" borderId="4" xfId="0" applyNumberFormat="1" applyFont="1" applyBorder="1" applyAlignment="1">
      <alignment horizontal="center" vertical="center" wrapText="1"/>
    </xf>
    <xf numFmtId="14" fontId="9" fillId="3" borderId="0" xfId="0" applyNumberFormat="1" applyFont="1" applyFill="1" applyAlignment="1">
      <alignment vertical="center"/>
    </xf>
    <xf numFmtId="0" fontId="17" fillId="0" borderId="0" xfId="7"/>
    <xf numFmtId="0" fontId="19" fillId="6" borderId="1" xfId="7" applyFont="1" applyFill="1" applyBorder="1" applyAlignment="1">
      <alignment horizontal="center" vertical="top"/>
    </xf>
    <xf numFmtId="0" fontId="20" fillId="0" borderId="1" xfId="7" applyFont="1" applyBorder="1"/>
    <xf numFmtId="0" fontId="21" fillId="0" borderId="1" xfId="7" applyFont="1" applyBorder="1" applyAlignment="1">
      <alignment vertical="top"/>
    </xf>
    <xf numFmtId="3" fontId="21" fillId="0" borderId="1" xfId="7" applyNumberFormat="1" applyFont="1" applyBorder="1" applyAlignment="1">
      <alignment vertical="top"/>
    </xf>
    <xf numFmtId="178" fontId="20" fillId="0" borderId="1" xfId="2" applyNumberFormat="1" applyFont="1" applyBorder="1" applyAlignment="1"/>
    <xf numFmtId="0" fontId="22" fillId="0" borderId="0" xfId="0" applyFont="1" applyAlignment="1">
      <alignment horizontal="center" vertical="center"/>
    </xf>
    <xf numFmtId="0" fontId="22" fillId="0" borderId="0" xfId="0" applyFont="1" applyAlignment="1">
      <alignment horizontal="right" vertical="center"/>
    </xf>
    <xf numFmtId="0" fontId="23"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vertical="center" wrapText="1"/>
    </xf>
    <xf numFmtId="4" fontId="22" fillId="0" borderId="0" xfId="0" applyNumberFormat="1" applyFont="1" applyAlignment="1">
      <alignment horizontal="center" vertical="center"/>
    </xf>
    <xf numFmtId="181" fontId="22" fillId="0" borderId="0" xfId="0" applyNumberFormat="1" applyFont="1" applyAlignment="1">
      <alignment horizontal="center" vertical="center"/>
    </xf>
    <xf numFmtId="0" fontId="24" fillId="0" borderId="0" xfId="0" applyFont="1" applyAlignment="1">
      <alignment horizontal="right" vertical="center"/>
    </xf>
    <xf numFmtId="0" fontId="23" fillId="5" borderId="0" xfId="0" applyFont="1" applyFill="1" applyAlignment="1">
      <alignment vertical="center"/>
    </xf>
    <xf numFmtId="0" fontId="23" fillId="0" borderId="0" xfId="0" applyFont="1" applyAlignment="1">
      <alignment horizontal="center" vertical="center"/>
    </xf>
    <xf numFmtId="0" fontId="23" fillId="5" borderId="0" xfId="0" applyFont="1" applyFill="1" applyAlignment="1">
      <alignment horizontal="center" vertical="center"/>
    </xf>
    <xf numFmtId="176" fontId="23" fillId="0" borderId="0" xfId="0" applyNumberFormat="1" applyFont="1" applyAlignment="1">
      <alignment horizontal="center" vertical="center"/>
    </xf>
    <xf numFmtId="0" fontId="14" fillId="5" borderId="0" xfId="0" applyFont="1" applyFill="1" applyAlignment="1">
      <alignment horizontal="center" vertical="center" wrapText="1"/>
    </xf>
    <xf numFmtId="176" fontId="11" fillId="0" borderId="0" xfId="0" applyNumberFormat="1" applyFont="1" applyAlignment="1">
      <alignment horizontal="center" vertical="center"/>
    </xf>
    <xf numFmtId="9" fontId="11" fillId="0" borderId="0" xfId="1" applyFont="1" applyFill="1" applyBorder="1" applyAlignment="1">
      <alignment horizontal="center" vertical="center"/>
    </xf>
    <xf numFmtId="1" fontId="13" fillId="0" borderId="0" xfId="1" applyNumberFormat="1" applyFont="1" applyFill="1" applyBorder="1" applyAlignment="1">
      <alignment horizontal="center" vertical="center"/>
    </xf>
    <xf numFmtId="179" fontId="11" fillId="0" borderId="0" xfId="1" applyNumberFormat="1" applyFont="1" applyFill="1" applyBorder="1" applyAlignment="1">
      <alignment horizontal="center" vertical="center"/>
    </xf>
    <xf numFmtId="0" fontId="22" fillId="0" borderId="0" xfId="0" applyFont="1" applyAlignment="1">
      <alignment vertical="top"/>
    </xf>
    <xf numFmtId="0" fontId="22" fillId="0" borderId="0" xfId="0" applyFont="1"/>
    <xf numFmtId="0" fontId="6" fillId="0" borderId="3" xfId="0" applyFont="1" applyBorder="1" applyAlignment="1">
      <alignment horizontal="center" vertical="center"/>
    </xf>
    <xf numFmtId="0" fontId="6" fillId="2" borderId="4" xfId="0" applyFont="1" applyFill="1" applyBorder="1" applyAlignment="1">
      <alignment horizontal="center" vertical="center"/>
    </xf>
    <xf numFmtId="0" fontId="6" fillId="7" borderId="4" xfId="0" applyFont="1" applyFill="1" applyBorder="1" applyAlignment="1">
      <alignment horizontal="center" vertical="center"/>
    </xf>
    <xf numFmtId="0" fontId="6" fillId="8" borderId="4" xfId="0" applyFont="1" applyFill="1" applyBorder="1" applyAlignment="1">
      <alignment horizontal="center" vertical="center"/>
    </xf>
    <xf numFmtId="0" fontId="6" fillId="9" borderId="4" xfId="0" applyFont="1" applyFill="1" applyBorder="1" applyAlignment="1">
      <alignment horizontal="center" vertical="center"/>
    </xf>
    <xf numFmtId="0" fontId="6" fillId="10" borderId="4" xfId="0" applyFont="1" applyFill="1" applyBorder="1" applyAlignment="1">
      <alignment horizontal="center" vertical="center"/>
    </xf>
    <xf numFmtId="0" fontId="6" fillId="11" borderId="4" xfId="0" applyFont="1" applyFill="1" applyBorder="1" applyAlignment="1">
      <alignment horizontal="center" vertical="center"/>
    </xf>
    <xf numFmtId="0" fontId="6" fillId="12" borderId="4" xfId="0" applyFont="1" applyFill="1" applyBorder="1" applyAlignment="1">
      <alignment horizontal="center" vertical="center"/>
    </xf>
    <xf numFmtId="0" fontId="0" fillId="13" borderId="0" xfId="0" applyFill="1"/>
    <xf numFmtId="0" fontId="0" fillId="14" borderId="0" xfId="0" applyFill="1"/>
    <xf numFmtId="0" fontId="25" fillId="0" borderId="0" xfId="0" applyFont="1" applyAlignment="1">
      <alignment vertical="center"/>
    </xf>
    <xf numFmtId="0" fontId="25" fillId="14" borderId="0" xfId="0" applyFont="1" applyFill="1" applyAlignment="1">
      <alignment vertical="center"/>
    </xf>
    <xf numFmtId="0" fontId="14" fillId="0" borderId="6" xfId="0" applyFont="1" applyBorder="1" applyAlignment="1">
      <alignment horizontal="center" vertical="center" wrapText="1"/>
    </xf>
    <xf numFmtId="0" fontId="6" fillId="0" borderId="6" xfId="0" applyFont="1" applyBorder="1" applyAlignment="1">
      <alignment horizontal="center" vertical="center"/>
    </xf>
    <xf numFmtId="0" fontId="22" fillId="0" borderId="0" xfId="0" applyFont="1" applyAlignment="1">
      <alignment horizontal="left" vertical="top" wrapText="1"/>
    </xf>
    <xf numFmtId="0" fontId="10" fillId="0" borderId="0" xfId="0" applyFont="1" applyAlignment="1">
      <alignment horizontal="center" vertical="center"/>
    </xf>
    <xf numFmtId="0" fontId="12" fillId="0" borderId="0" xfId="0" applyFont="1" applyAlignment="1">
      <alignment horizontal="center" vertical="center"/>
    </xf>
    <xf numFmtId="0" fontId="11" fillId="0" borderId="5" xfId="0" applyFont="1" applyBorder="1" applyAlignment="1">
      <alignment horizontal="center" vertical="center"/>
    </xf>
    <xf numFmtId="0" fontId="15"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8" fillId="0" borderId="4" xfId="7" applyFont="1" applyBorder="1" applyAlignment="1">
      <alignment horizontal="center"/>
    </xf>
    <xf numFmtId="0" fontId="18" fillId="0" borderId="0" xfId="7" applyFont="1" applyAlignment="1">
      <alignment horizontal="center"/>
    </xf>
    <xf numFmtId="0" fontId="17" fillId="0" borderId="0" xfId="7"/>
    <xf numFmtId="0" fontId="11" fillId="0" borderId="0" xfId="0" applyFont="1" applyAlignment="1">
      <alignment horizontal="center" vertical="center"/>
    </xf>
    <xf numFmtId="0" fontId="6" fillId="0" borderId="0" xfId="0" applyFont="1" applyAlignment="1">
      <alignment horizontal="left" vertical="top" wrapText="1"/>
    </xf>
  </cellXfs>
  <cellStyles count="9">
    <cellStyle name="Normal" xfId="0" builtinId="0"/>
    <cellStyle name="Percent" xfId="1" builtinId="5"/>
    <cellStyle name="百分比 2" xfId="2" xr:uid="{00000000-0005-0000-0000-000001000000}"/>
    <cellStyle name="百分比 4" xfId="3" xr:uid="{00000000-0005-0000-0000-000002000000}"/>
    <cellStyle name="常规 2" xfId="4" xr:uid="{00000000-0005-0000-0000-000004000000}"/>
    <cellStyle name="常规 2 3" xfId="5" xr:uid="{00000000-0005-0000-0000-000005000000}"/>
    <cellStyle name="常规 3" xfId="6" xr:uid="{00000000-0005-0000-0000-000006000000}"/>
    <cellStyle name="常规 4" xfId="7" xr:uid="{00000000-0005-0000-0000-000007000000}"/>
    <cellStyle name="常规 8" xfId="8" xr:uid="{00000000-0005-0000-0000-000008000000}"/>
  </cellStyles>
  <dxfs count="6">
    <dxf>
      <fill>
        <patternFill patternType="solid">
          <bgColor theme="6" tint="0.79979857783745845"/>
        </patternFill>
      </fill>
    </dxf>
    <dxf>
      <fill>
        <patternFill patternType="solid">
          <bgColor theme="6" tint="0.79979857783745845"/>
        </patternFill>
      </fill>
    </dxf>
    <dxf>
      <fill>
        <patternFill patternType="solid">
          <bgColor theme="6" tint="0.79979857783745845"/>
        </patternFill>
      </fill>
    </dxf>
    <dxf>
      <fill>
        <patternFill patternType="solid">
          <bgColor theme="6" tint="0.79979857783745845"/>
        </patternFill>
      </fill>
    </dxf>
    <dxf>
      <fill>
        <patternFill patternType="solid">
          <bgColor theme="6" tint="0.79979857783745845"/>
        </patternFill>
      </fill>
    </dxf>
    <dxf>
      <fill>
        <patternFill patternType="solid">
          <bgColor theme="6" tint="0.7997985778374584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B59"/>
  <sheetViews>
    <sheetView showGridLines="0" tabSelected="1" workbookViewId="0">
      <pane ySplit="1" topLeftCell="A2" activePane="bottomLeft" state="frozen"/>
      <selection pane="bottomLeft" activeCell="A2" sqref="A2"/>
    </sheetView>
  </sheetViews>
  <sheetFormatPr defaultColWidth="9" defaultRowHeight="22" customHeight="1" x14ac:dyDescent="0.25"/>
  <cols>
    <col min="1" max="1" width="14.08984375" style="14" bestFit="1" customWidth="1"/>
    <col min="2" max="2" width="11.90625" style="14" customWidth="1"/>
  </cols>
  <sheetData>
    <row r="1" spans="1:2" s="13" customFormat="1" ht="16.5" x14ac:dyDescent="0.25">
      <c r="A1" s="100" t="s">
        <v>163</v>
      </c>
      <c r="B1" s="32" t="s">
        <v>162</v>
      </c>
    </row>
    <row r="2" spans="1:2" ht="22" customHeight="1" x14ac:dyDescent="0.25">
      <c r="A2" s="39" t="s">
        <v>8</v>
      </c>
      <c r="B2" s="101" t="s">
        <v>7</v>
      </c>
    </row>
    <row r="3" spans="1:2" ht="22" customHeight="1" x14ac:dyDescent="0.25">
      <c r="A3" s="39" t="s">
        <v>9</v>
      </c>
      <c r="B3" s="101" t="s">
        <v>7</v>
      </c>
    </row>
    <row r="4" spans="1:2" ht="22" customHeight="1" x14ac:dyDescent="0.25">
      <c r="A4" s="39" t="s">
        <v>10</v>
      </c>
      <c r="B4" s="101" t="s">
        <v>7</v>
      </c>
    </row>
    <row r="5" spans="1:2" ht="22" customHeight="1" x14ac:dyDescent="0.25">
      <c r="A5" s="39" t="s">
        <v>11</v>
      </c>
      <c r="B5" s="101" t="s">
        <v>7</v>
      </c>
    </row>
    <row r="6" spans="1:2" ht="22" customHeight="1" x14ac:dyDescent="0.25">
      <c r="A6" s="39" t="s">
        <v>12</v>
      </c>
      <c r="B6" s="101" t="s">
        <v>7</v>
      </c>
    </row>
    <row r="7" spans="1:2" ht="22" customHeight="1" x14ac:dyDescent="0.25">
      <c r="A7" s="39" t="s">
        <v>13</v>
      </c>
      <c r="B7" s="101" t="s">
        <v>7</v>
      </c>
    </row>
    <row r="8" spans="1:2" ht="22" customHeight="1" x14ac:dyDescent="0.25">
      <c r="A8" s="39" t="s">
        <v>14</v>
      </c>
      <c r="B8" s="101" t="s">
        <v>7</v>
      </c>
    </row>
    <row r="9" spans="1:2" ht="22" customHeight="1" x14ac:dyDescent="0.25">
      <c r="A9" s="39" t="s">
        <v>16</v>
      </c>
      <c r="B9" s="101" t="s">
        <v>15</v>
      </c>
    </row>
    <row r="10" spans="1:2" ht="22" customHeight="1" x14ac:dyDescent="0.25">
      <c r="A10" s="39" t="s">
        <v>17</v>
      </c>
      <c r="B10" s="101" t="s">
        <v>15</v>
      </c>
    </row>
    <row r="11" spans="1:2" ht="22" customHeight="1" x14ac:dyDescent="0.25">
      <c r="A11" s="39" t="s">
        <v>18</v>
      </c>
      <c r="B11" s="101" t="s">
        <v>15</v>
      </c>
    </row>
    <row r="12" spans="1:2" ht="22" customHeight="1" x14ac:dyDescent="0.25">
      <c r="A12" s="39" t="s">
        <v>19</v>
      </c>
      <c r="B12" s="101" t="s">
        <v>15</v>
      </c>
    </row>
    <row r="13" spans="1:2" ht="22" customHeight="1" x14ac:dyDescent="0.25">
      <c r="A13" s="39" t="s">
        <v>20</v>
      </c>
      <c r="B13" s="101" t="s">
        <v>15</v>
      </c>
    </row>
    <row r="14" spans="1:2" ht="22" customHeight="1" x14ac:dyDescent="0.25">
      <c r="A14" s="39" t="s">
        <v>21</v>
      </c>
      <c r="B14" s="101" t="s">
        <v>15</v>
      </c>
    </row>
    <row r="15" spans="1:2" ht="22" customHeight="1" x14ac:dyDescent="0.25">
      <c r="A15" s="39" t="s">
        <v>22</v>
      </c>
      <c r="B15" s="101" t="s">
        <v>15</v>
      </c>
    </row>
    <row r="16" spans="1:2" ht="22" customHeight="1" x14ac:dyDescent="0.25">
      <c r="A16" s="39" t="s">
        <v>24</v>
      </c>
      <c r="B16" s="101" t="s">
        <v>23</v>
      </c>
    </row>
    <row r="17" spans="1:2" ht="22" customHeight="1" x14ac:dyDescent="0.25">
      <c r="A17" s="39" t="s">
        <v>25</v>
      </c>
      <c r="B17" s="101" t="s">
        <v>23</v>
      </c>
    </row>
    <row r="18" spans="1:2" ht="22" customHeight="1" x14ac:dyDescent="0.25">
      <c r="A18" s="39" t="s">
        <v>26</v>
      </c>
      <c r="B18" s="101" t="s">
        <v>23</v>
      </c>
    </row>
    <row r="19" spans="1:2" ht="22" customHeight="1" x14ac:dyDescent="0.25">
      <c r="A19" s="39" t="s">
        <v>27</v>
      </c>
      <c r="B19" s="101" t="s">
        <v>23</v>
      </c>
    </row>
    <row r="20" spans="1:2" ht="22" customHeight="1" x14ac:dyDescent="0.25">
      <c r="A20" s="39" t="s">
        <v>28</v>
      </c>
      <c r="B20" s="101" t="s">
        <v>23</v>
      </c>
    </row>
    <row r="21" spans="1:2" ht="22" customHeight="1" x14ac:dyDescent="0.25">
      <c r="A21" s="39" t="s">
        <v>29</v>
      </c>
      <c r="B21" s="101" t="s">
        <v>23</v>
      </c>
    </row>
    <row r="22" spans="1:2" ht="22" customHeight="1" x14ac:dyDescent="0.25">
      <c r="A22" s="39" t="s">
        <v>30</v>
      </c>
      <c r="B22" s="101" t="s">
        <v>23</v>
      </c>
    </row>
    <row r="23" spans="1:2" ht="22" customHeight="1" x14ac:dyDescent="0.25">
      <c r="A23" s="39" t="s">
        <v>32</v>
      </c>
      <c r="B23" s="101" t="s">
        <v>31</v>
      </c>
    </row>
    <row r="24" spans="1:2" ht="22" customHeight="1" x14ac:dyDescent="0.25">
      <c r="A24" s="39" t="s">
        <v>33</v>
      </c>
      <c r="B24" s="101" t="s">
        <v>31</v>
      </c>
    </row>
    <row r="25" spans="1:2" ht="22" customHeight="1" x14ac:dyDescent="0.25">
      <c r="A25" s="39" t="s">
        <v>34</v>
      </c>
      <c r="B25" s="101" t="s">
        <v>31</v>
      </c>
    </row>
    <row r="26" spans="1:2" ht="22" customHeight="1" x14ac:dyDescent="0.25">
      <c r="A26" s="39" t="s">
        <v>35</v>
      </c>
      <c r="B26" s="101" t="s">
        <v>31</v>
      </c>
    </row>
    <row r="27" spans="1:2" ht="22" customHeight="1" x14ac:dyDescent="0.25">
      <c r="A27" s="39" t="s">
        <v>36</v>
      </c>
      <c r="B27" s="101" t="s">
        <v>31</v>
      </c>
    </row>
    <row r="28" spans="1:2" ht="22" customHeight="1" x14ac:dyDescent="0.25">
      <c r="A28" s="39" t="s">
        <v>37</v>
      </c>
      <c r="B28" s="101" t="s">
        <v>31</v>
      </c>
    </row>
    <row r="29" spans="1:2" ht="22" customHeight="1" x14ac:dyDescent="0.25">
      <c r="A29" s="39" t="s">
        <v>39</v>
      </c>
      <c r="B29" s="101" t="s">
        <v>38</v>
      </c>
    </row>
    <row r="30" spans="1:2" ht="22" customHeight="1" x14ac:dyDescent="0.25">
      <c r="A30" s="39" t="s">
        <v>40</v>
      </c>
      <c r="B30" s="101" t="s">
        <v>38</v>
      </c>
    </row>
    <row r="31" spans="1:2" ht="22" customHeight="1" x14ac:dyDescent="0.25">
      <c r="A31" s="39" t="s">
        <v>41</v>
      </c>
      <c r="B31" s="101" t="s">
        <v>38</v>
      </c>
    </row>
    <row r="32" spans="1:2" ht="22" customHeight="1" x14ac:dyDescent="0.25">
      <c r="A32" s="39" t="s">
        <v>42</v>
      </c>
      <c r="B32" s="101" t="s">
        <v>38</v>
      </c>
    </row>
    <row r="33" spans="1:2" ht="22" customHeight="1" x14ac:dyDescent="0.25">
      <c r="A33" s="39" t="s">
        <v>43</v>
      </c>
      <c r="B33" s="101" t="s">
        <v>38</v>
      </c>
    </row>
    <row r="34" spans="1:2" ht="22" customHeight="1" x14ac:dyDescent="0.25">
      <c r="A34" s="39" t="s">
        <v>44</v>
      </c>
      <c r="B34" s="101" t="s">
        <v>38</v>
      </c>
    </row>
    <row r="35" spans="1:2" ht="22" customHeight="1" x14ac:dyDescent="0.25">
      <c r="A35" s="39" t="s">
        <v>46</v>
      </c>
      <c r="B35" s="101" t="s">
        <v>45</v>
      </c>
    </row>
    <row r="36" spans="1:2" ht="22" customHeight="1" x14ac:dyDescent="0.25">
      <c r="A36" s="39" t="s">
        <v>47</v>
      </c>
      <c r="B36" s="101" t="s">
        <v>45</v>
      </c>
    </row>
    <row r="37" spans="1:2" ht="22" customHeight="1" x14ac:dyDescent="0.25">
      <c r="A37" s="39" t="s">
        <v>48</v>
      </c>
      <c r="B37" s="101" t="s">
        <v>45</v>
      </c>
    </row>
    <row r="38" spans="1:2" ht="22" customHeight="1" x14ac:dyDescent="0.25">
      <c r="A38" s="39" t="s">
        <v>49</v>
      </c>
      <c r="B38" s="101" t="s">
        <v>45</v>
      </c>
    </row>
    <row r="39" spans="1:2" ht="22" customHeight="1" x14ac:dyDescent="0.25">
      <c r="A39" s="39" t="s">
        <v>50</v>
      </c>
      <c r="B39" s="101" t="s">
        <v>45</v>
      </c>
    </row>
    <row r="40" spans="1:2" ht="22" customHeight="1" x14ac:dyDescent="0.25">
      <c r="A40" s="39" t="s">
        <v>51</v>
      </c>
      <c r="B40" s="101" t="s">
        <v>45</v>
      </c>
    </row>
    <row r="41" spans="1:2" ht="22" customHeight="1" x14ac:dyDescent="0.25">
      <c r="A41" s="39" t="s">
        <v>52</v>
      </c>
      <c r="B41" s="101" t="s">
        <v>45</v>
      </c>
    </row>
    <row r="42" spans="1:2" ht="22" customHeight="1" x14ac:dyDescent="0.25">
      <c r="A42" s="39" t="s">
        <v>54</v>
      </c>
      <c r="B42" s="101" t="s">
        <v>53</v>
      </c>
    </row>
    <row r="43" spans="1:2" ht="22" customHeight="1" x14ac:dyDescent="0.25">
      <c r="A43" s="39" t="s">
        <v>55</v>
      </c>
      <c r="B43" s="101" t="s">
        <v>53</v>
      </c>
    </row>
    <row r="44" spans="1:2" ht="22" customHeight="1" x14ac:dyDescent="0.25">
      <c r="A44" s="39" t="s">
        <v>56</v>
      </c>
      <c r="B44" s="101" t="s">
        <v>53</v>
      </c>
    </row>
    <row r="45" spans="1:2" ht="22" customHeight="1" x14ac:dyDescent="0.25">
      <c r="A45" s="39" t="s">
        <v>57</v>
      </c>
      <c r="B45" s="101" t="s">
        <v>53</v>
      </c>
    </row>
    <row r="46" spans="1:2" ht="22" customHeight="1" x14ac:dyDescent="0.25">
      <c r="A46" s="39" t="s">
        <v>58</v>
      </c>
      <c r="B46" s="101" t="s">
        <v>53</v>
      </c>
    </row>
    <row r="47" spans="1:2" ht="22" customHeight="1" x14ac:dyDescent="0.25">
      <c r="A47" s="39" t="s">
        <v>59</v>
      </c>
      <c r="B47" s="101" t="s">
        <v>53</v>
      </c>
    </row>
    <row r="48" spans="1:2" ht="22" customHeight="1" x14ac:dyDescent="0.25">
      <c r="A48" s="39" t="s">
        <v>61</v>
      </c>
      <c r="B48" s="101" t="s">
        <v>60</v>
      </c>
    </row>
    <row r="49" spans="1:2" ht="22" customHeight="1" x14ac:dyDescent="0.25">
      <c r="A49" s="39" t="s">
        <v>62</v>
      </c>
      <c r="B49" s="101" t="s">
        <v>60</v>
      </c>
    </row>
    <row r="50" spans="1:2" ht="22" customHeight="1" x14ac:dyDescent="0.25">
      <c r="A50" s="39" t="s">
        <v>63</v>
      </c>
      <c r="B50" s="101" t="s">
        <v>60</v>
      </c>
    </row>
    <row r="51" spans="1:2" ht="22" customHeight="1" x14ac:dyDescent="0.25">
      <c r="A51" s="39" t="s">
        <v>64</v>
      </c>
      <c r="B51" s="101" t="s">
        <v>60</v>
      </c>
    </row>
    <row r="52" spans="1:2" ht="22" customHeight="1" x14ac:dyDescent="0.25">
      <c r="A52" s="39" t="s">
        <v>65</v>
      </c>
      <c r="B52" s="101" t="s">
        <v>60</v>
      </c>
    </row>
    <row r="53" spans="1:2" ht="22" customHeight="1" x14ac:dyDescent="0.25">
      <c r="A53" s="39" t="s">
        <v>66</v>
      </c>
      <c r="B53" s="101" t="s">
        <v>60</v>
      </c>
    </row>
    <row r="54" spans="1:2" ht="22" customHeight="1" x14ac:dyDescent="0.25">
      <c r="A54" s="39" t="s">
        <v>68</v>
      </c>
      <c r="B54" s="101" t="s">
        <v>67</v>
      </c>
    </row>
    <row r="55" spans="1:2" ht="22" customHeight="1" x14ac:dyDescent="0.25">
      <c r="A55" s="39" t="s">
        <v>69</v>
      </c>
      <c r="B55" s="101" t="s">
        <v>67</v>
      </c>
    </row>
    <row r="56" spans="1:2" ht="22" customHeight="1" x14ac:dyDescent="0.25">
      <c r="A56" s="39" t="s">
        <v>70</v>
      </c>
      <c r="B56" s="101" t="s">
        <v>67</v>
      </c>
    </row>
    <row r="57" spans="1:2" ht="22" customHeight="1" x14ac:dyDescent="0.25">
      <c r="A57" s="39" t="s">
        <v>71</v>
      </c>
      <c r="B57" s="101" t="s">
        <v>67</v>
      </c>
    </row>
    <row r="58" spans="1:2" ht="22" customHeight="1" x14ac:dyDescent="0.25">
      <c r="A58" s="39" t="s">
        <v>72</v>
      </c>
      <c r="B58" s="101" t="s">
        <v>67</v>
      </c>
    </row>
    <row r="59" spans="1:2" ht="22" customHeight="1" x14ac:dyDescent="0.25">
      <c r="A59" s="39" t="s">
        <v>73</v>
      </c>
      <c r="B59" s="101" t="s">
        <v>67</v>
      </c>
    </row>
  </sheetData>
  <phoneticPr fontId="28"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2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8"/>
  <sheetViews>
    <sheetView workbookViewId="0">
      <selection activeCell="B20" sqref="B20"/>
    </sheetView>
  </sheetViews>
  <sheetFormatPr defaultColWidth="9" defaultRowHeight="14" x14ac:dyDescent="0.25"/>
  <cols>
    <col min="2" max="2" width="13" customWidth="1"/>
    <col min="3" max="3" width="11.90625" customWidth="1"/>
  </cols>
  <sheetData>
    <row r="1" spans="1:6" ht="16.5" x14ac:dyDescent="0.25">
      <c r="A1" t="s">
        <v>3</v>
      </c>
      <c r="B1" t="s">
        <v>75</v>
      </c>
      <c r="C1" t="s">
        <v>76</v>
      </c>
      <c r="E1" s="88" t="s">
        <v>8</v>
      </c>
      <c r="F1" s="89" t="s">
        <v>7</v>
      </c>
    </row>
    <row r="2" spans="1:6" ht="16.5" x14ac:dyDescent="0.25">
      <c r="A2" t="e">
        <f>emp!#REF!</f>
        <v>#REF!</v>
      </c>
      <c r="B2" t="e">
        <f>emp!#REF!</f>
        <v>#REF!</v>
      </c>
      <c r="C2" t="e">
        <f>emp!#REF!</f>
        <v>#REF!</v>
      </c>
      <c r="E2" s="88" t="s">
        <v>9</v>
      </c>
      <c r="F2" s="89" t="s">
        <v>7</v>
      </c>
    </row>
    <row r="3" spans="1:6" ht="16.5" x14ac:dyDescent="0.25">
      <c r="A3" t="e">
        <f>emp!#REF!</f>
        <v>#REF!</v>
      </c>
      <c r="B3" t="e">
        <f>emp!#REF!</f>
        <v>#REF!</v>
      </c>
      <c r="C3" t="e">
        <f>emp!#REF!</f>
        <v>#REF!</v>
      </c>
      <c r="E3" s="88" t="s">
        <v>10</v>
      </c>
      <c r="F3" s="89" t="s">
        <v>7</v>
      </c>
    </row>
    <row r="4" spans="1:6" ht="16.5" x14ac:dyDescent="0.25">
      <c r="A4" t="e">
        <f>emp!#REF!</f>
        <v>#REF!</v>
      </c>
      <c r="B4" t="e">
        <f>emp!#REF!</f>
        <v>#REF!</v>
      </c>
      <c r="C4" t="e">
        <f>emp!#REF!</f>
        <v>#REF!</v>
      </c>
      <c r="E4" s="88" t="s">
        <v>11</v>
      </c>
      <c r="F4" s="89" t="s">
        <v>7</v>
      </c>
    </row>
    <row r="5" spans="1:6" ht="16.5" x14ac:dyDescent="0.25">
      <c r="A5" t="e">
        <f>emp!#REF!</f>
        <v>#REF!</v>
      </c>
      <c r="B5" t="e">
        <f>emp!#REF!</f>
        <v>#REF!</v>
      </c>
      <c r="C5" t="e">
        <f>emp!#REF!</f>
        <v>#REF!</v>
      </c>
      <c r="E5" s="88" t="s">
        <v>12</v>
      </c>
      <c r="F5" s="89" t="s">
        <v>7</v>
      </c>
    </row>
    <row r="6" spans="1:6" ht="16.5" x14ac:dyDescent="0.25">
      <c r="A6" t="e">
        <f>emp!#REF!</f>
        <v>#REF!</v>
      </c>
      <c r="B6" t="e">
        <f>emp!#REF!</f>
        <v>#REF!</v>
      </c>
      <c r="C6" t="e">
        <f>emp!#REF!</f>
        <v>#REF!</v>
      </c>
      <c r="E6" s="88" t="s">
        <v>13</v>
      </c>
      <c r="F6" s="89" t="s">
        <v>7</v>
      </c>
    </row>
    <row r="7" spans="1:6" ht="16.5" x14ac:dyDescent="0.25">
      <c r="A7" t="e">
        <f>emp!#REF!</f>
        <v>#REF!</v>
      </c>
      <c r="B7" t="e">
        <f>emp!#REF!</f>
        <v>#REF!</v>
      </c>
      <c r="C7" t="e">
        <f>emp!#REF!</f>
        <v>#REF!</v>
      </c>
      <c r="E7" s="88" t="s">
        <v>14</v>
      </c>
      <c r="F7" s="89" t="s">
        <v>7</v>
      </c>
    </row>
    <row r="8" spans="1:6" ht="16.5" x14ac:dyDescent="0.25">
      <c r="A8" t="e">
        <f>emp!#REF!</f>
        <v>#REF!</v>
      </c>
      <c r="B8" t="e">
        <f>emp!#REF!</f>
        <v>#REF!</v>
      </c>
      <c r="C8" t="e">
        <f>emp!#REF!</f>
        <v>#REF!</v>
      </c>
      <c r="E8" s="88" t="s">
        <v>16</v>
      </c>
      <c r="F8" s="90" t="s">
        <v>15</v>
      </c>
    </row>
    <row r="9" spans="1:6" ht="16.5" x14ac:dyDescent="0.25">
      <c r="A9" t="e">
        <f>emp!#REF!</f>
        <v>#REF!</v>
      </c>
      <c r="B9" t="e">
        <f>emp!#REF!</f>
        <v>#REF!</v>
      </c>
      <c r="C9" t="e">
        <f>emp!#REF!</f>
        <v>#REF!</v>
      </c>
      <c r="E9" s="88" t="s">
        <v>17</v>
      </c>
      <c r="F9" s="90" t="s">
        <v>15</v>
      </c>
    </row>
    <row r="10" spans="1:6" ht="16.5" x14ac:dyDescent="0.25">
      <c r="A10" t="e">
        <f>emp!#REF!</f>
        <v>#REF!</v>
      </c>
      <c r="B10" t="e">
        <f>emp!#REF!</f>
        <v>#REF!</v>
      </c>
      <c r="C10" t="e">
        <f>emp!#REF!</f>
        <v>#REF!</v>
      </c>
      <c r="E10" s="88" t="s">
        <v>18</v>
      </c>
      <c r="F10" s="90" t="s">
        <v>15</v>
      </c>
    </row>
    <row r="11" spans="1:6" ht="16.5" x14ac:dyDescent="0.25">
      <c r="E11" s="88" t="s">
        <v>19</v>
      </c>
      <c r="F11" s="90" t="s">
        <v>15</v>
      </c>
    </row>
    <row r="12" spans="1:6" ht="16.5" x14ac:dyDescent="0.25">
      <c r="E12" s="88" t="s">
        <v>20</v>
      </c>
      <c r="F12" s="90" t="s">
        <v>15</v>
      </c>
    </row>
    <row r="13" spans="1:6" ht="16.5" x14ac:dyDescent="0.25">
      <c r="E13" s="88" t="s">
        <v>21</v>
      </c>
      <c r="F13" s="90" t="s">
        <v>15</v>
      </c>
    </row>
    <row r="14" spans="1:6" ht="16.5" x14ac:dyDescent="0.25">
      <c r="E14" s="88" t="s">
        <v>22</v>
      </c>
      <c r="F14" s="90" t="s">
        <v>15</v>
      </c>
    </row>
    <row r="15" spans="1:6" ht="16.5" x14ac:dyDescent="0.25">
      <c r="E15" s="88" t="s">
        <v>24</v>
      </c>
      <c r="F15" s="91" t="s">
        <v>23</v>
      </c>
    </row>
    <row r="16" spans="1:6" ht="16.5" x14ac:dyDescent="0.25">
      <c r="E16" s="88" t="s">
        <v>25</v>
      </c>
      <c r="F16" s="91" t="s">
        <v>23</v>
      </c>
    </row>
    <row r="17" spans="5:6" ht="16.5" x14ac:dyDescent="0.25">
      <c r="E17" s="88" t="s">
        <v>26</v>
      </c>
      <c r="F17" s="91" t="s">
        <v>23</v>
      </c>
    </row>
    <row r="18" spans="5:6" ht="16.5" x14ac:dyDescent="0.25">
      <c r="E18" s="88" t="s">
        <v>27</v>
      </c>
      <c r="F18" s="91" t="s">
        <v>23</v>
      </c>
    </row>
    <row r="19" spans="5:6" ht="16.5" x14ac:dyDescent="0.25">
      <c r="E19" s="88" t="s">
        <v>28</v>
      </c>
      <c r="F19" s="91" t="s">
        <v>23</v>
      </c>
    </row>
    <row r="20" spans="5:6" ht="16.5" x14ac:dyDescent="0.25">
      <c r="E20" s="88" t="s">
        <v>29</v>
      </c>
      <c r="F20" s="91" t="s">
        <v>23</v>
      </c>
    </row>
    <row r="21" spans="5:6" ht="16.5" x14ac:dyDescent="0.25">
      <c r="E21" s="88" t="s">
        <v>30</v>
      </c>
      <c r="F21" s="91" t="s">
        <v>23</v>
      </c>
    </row>
    <row r="22" spans="5:6" ht="16.5" x14ac:dyDescent="0.25">
      <c r="E22" s="88" t="s">
        <v>32</v>
      </c>
      <c r="F22" s="92" t="s">
        <v>31</v>
      </c>
    </row>
    <row r="23" spans="5:6" ht="16.5" x14ac:dyDescent="0.25">
      <c r="E23" s="88" t="s">
        <v>33</v>
      </c>
      <c r="F23" s="92" t="s">
        <v>31</v>
      </c>
    </row>
    <row r="24" spans="5:6" ht="16.5" x14ac:dyDescent="0.25">
      <c r="E24" s="88" t="s">
        <v>34</v>
      </c>
      <c r="F24" s="92" t="s">
        <v>31</v>
      </c>
    </row>
    <row r="25" spans="5:6" ht="16.5" x14ac:dyDescent="0.25">
      <c r="E25" s="88" t="s">
        <v>35</v>
      </c>
      <c r="F25" s="92" t="s">
        <v>31</v>
      </c>
    </row>
    <row r="26" spans="5:6" ht="16.5" x14ac:dyDescent="0.25">
      <c r="E26" s="88" t="s">
        <v>36</v>
      </c>
      <c r="F26" s="92" t="s">
        <v>31</v>
      </c>
    </row>
    <row r="27" spans="5:6" ht="16.5" x14ac:dyDescent="0.25">
      <c r="E27" s="88" t="s">
        <v>37</v>
      </c>
      <c r="F27" s="92" t="s">
        <v>31</v>
      </c>
    </row>
    <row r="28" spans="5:6" ht="16.5" x14ac:dyDescent="0.25">
      <c r="E28" s="88" t="s">
        <v>39</v>
      </c>
      <c r="F28" s="93" t="s">
        <v>38</v>
      </c>
    </row>
    <row r="29" spans="5:6" ht="16.5" x14ac:dyDescent="0.25">
      <c r="E29" s="88" t="s">
        <v>40</v>
      </c>
      <c r="F29" s="93" t="s">
        <v>38</v>
      </c>
    </row>
    <row r="30" spans="5:6" ht="16.5" x14ac:dyDescent="0.25">
      <c r="E30" s="88" t="s">
        <v>41</v>
      </c>
      <c r="F30" s="93" t="s">
        <v>38</v>
      </c>
    </row>
    <row r="31" spans="5:6" ht="16.5" x14ac:dyDescent="0.25">
      <c r="E31" s="88" t="s">
        <v>42</v>
      </c>
      <c r="F31" s="93" t="s">
        <v>38</v>
      </c>
    </row>
    <row r="32" spans="5:6" ht="16.5" x14ac:dyDescent="0.25">
      <c r="E32" s="88" t="s">
        <v>43</v>
      </c>
      <c r="F32" s="93" t="s">
        <v>38</v>
      </c>
    </row>
    <row r="33" spans="5:6" ht="16.5" x14ac:dyDescent="0.25">
      <c r="E33" s="88" t="s">
        <v>44</v>
      </c>
      <c r="F33" s="93" t="s">
        <v>38</v>
      </c>
    </row>
    <row r="34" spans="5:6" ht="16.5" x14ac:dyDescent="0.25">
      <c r="E34" s="88" t="s">
        <v>46</v>
      </c>
      <c r="F34" s="94" t="s">
        <v>45</v>
      </c>
    </row>
    <row r="35" spans="5:6" ht="16.5" x14ac:dyDescent="0.25">
      <c r="E35" s="88" t="s">
        <v>47</v>
      </c>
      <c r="F35" s="94" t="s">
        <v>45</v>
      </c>
    </row>
    <row r="36" spans="5:6" ht="16.5" x14ac:dyDescent="0.25">
      <c r="E36" s="88" t="s">
        <v>48</v>
      </c>
      <c r="F36" s="94" t="s">
        <v>45</v>
      </c>
    </row>
    <row r="37" spans="5:6" ht="16.5" x14ac:dyDescent="0.25">
      <c r="E37" s="88" t="s">
        <v>49</v>
      </c>
      <c r="F37" s="94" t="s">
        <v>45</v>
      </c>
    </row>
    <row r="38" spans="5:6" ht="16.5" x14ac:dyDescent="0.25">
      <c r="E38" s="88" t="s">
        <v>50</v>
      </c>
      <c r="F38" s="94" t="s">
        <v>45</v>
      </c>
    </row>
    <row r="39" spans="5:6" ht="16.5" x14ac:dyDescent="0.25">
      <c r="E39" s="88" t="s">
        <v>51</v>
      </c>
      <c r="F39" s="94" t="s">
        <v>45</v>
      </c>
    </row>
    <row r="40" spans="5:6" ht="16.5" x14ac:dyDescent="0.25">
      <c r="E40" s="88" t="s">
        <v>52</v>
      </c>
      <c r="F40" s="94" t="s">
        <v>45</v>
      </c>
    </row>
    <row r="41" spans="5:6" ht="16.5" x14ac:dyDescent="0.25">
      <c r="E41" s="88" t="s">
        <v>54</v>
      </c>
      <c r="F41" s="95" t="s">
        <v>53</v>
      </c>
    </row>
    <row r="42" spans="5:6" ht="16.5" x14ac:dyDescent="0.25">
      <c r="E42" s="88" t="s">
        <v>55</v>
      </c>
      <c r="F42" s="95" t="s">
        <v>53</v>
      </c>
    </row>
    <row r="43" spans="5:6" ht="16.5" x14ac:dyDescent="0.25">
      <c r="E43" s="88" t="s">
        <v>56</v>
      </c>
      <c r="F43" s="95" t="s">
        <v>53</v>
      </c>
    </row>
    <row r="44" spans="5:6" ht="16.5" x14ac:dyDescent="0.25">
      <c r="E44" s="88" t="s">
        <v>57</v>
      </c>
      <c r="F44" s="95" t="s">
        <v>53</v>
      </c>
    </row>
    <row r="45" spans="5:6" ht="16.5" x14ac:dyDescent="0.25">
      <c r="E45" s="88" t="s">
        <v>58</v>
      </c>
      <c r="F45" s="95" t="s">
        <v>53</v>
      </c>
    </row>
    <row r="46" spans="5:6" ht="16.5" x14ac:dyDescent="0.25">
      <c r="E46" s="88" t="s">
        <v>59</v>
      </c>
      <c r="F46" s="95" t="s">
        <v>53</v>
      </c>
    </row>
    <row r="47" spans="5:6" x14ac:dyDescent="0.25">
      <c r="E47" t="s">
        <v>61</v>
      </c>
      <c r="F47" s="96" t="s">
        <v>60</v>
      </c>
    </row>
    <row r="48" spans="5:6" x14ac:dyDescent="0.25">
      <c r="E48" t="s">
        <v>62</v>
      </c>
      <c r="F48" s="96" t="s">
        <v>60</v>
      </c>
    </row>
    <row r="49" spans="5:6" x14ac:dyDescent="0.25">
      <c r="E49" t="s">
        <v>63</v>
      </c>
      <c r="F49" s="96" t="s">
        <v>60</v>
      </c>
    </row>
    <row r="50" spans="5:6" x14ac:dyDescent="0.25">
      <c r="E50" t="s">
        <v>64</v>
      </c>
      <c r="F50" s="96" t="s">
        <v>60</v>
      </c>
    </row>
    <row r="51" spans="5:6" x14ac:dyDescent="0.25">
      <c r="E51" t="s">
        <v>65</v>
      </c>
      <c r="F51" s="96" t="s">
        <v>60</v>
      </c>
    </row>
    <row r="52" spans="5:6" x14ac:dyDescent="0.25">
      <c r="E52" t="s">
        <v>66</v>
      </c>
      <c r="F52" s="96" t="s">
        <v>60</v>
      </c>
    </row>
    <row r="53" spans="5:6" x14ac:dyDescent="0.25">
      <c r="E53" t="s">
        <v>68</v>
      </c>
      <c r="F53" s="97" t="s">
        <v>67</v>
      </c>
    </row>
    <row r="54" spans="5:6" x14ac:dyDescent="0.25">
      <c r="E54" s="98" t="s">
        <v>69</v>
      </c>
      <c r="F54" s="99" t="s">
        <v>67</v>
      </c>
    </row>
    <row r="55" spans="5:6" x14ac:dyDescent="0.25">
      <c r="E55" t="s">
        <v>70</v>
      </c>
      <c r="F55" s="97" t="s">
        <v>67</v>
      </c>
    </row>
    <row r="56" spans="5:6" x14ac:dyDescent="0.25">
      <c r="E56" t="s">
        <v>71</v>
      </c>
      <c r="F56" s="97" t="s">
        <v>67</v>
      </c>
    </row>
    <row r="57" spans="5:6" x14ac:dyDescent="0.25">
      <c r="E57" t="s">
        <v>72</v>
      </c>
      <c r="F57" s="97" t="s">
        <v>67</v>
      </c>
    </row>
    <row r="58" spans="5:6" x14ac:dyDescent="0.25">
      <c r="E58" t="s">
        <v>73</v>
      </c>
      <c r="F58" s="97" t="s">
        <v>67</v>
      </c>
    </row>
  </sheetData>
  <phoneticPr fontId="2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3"/>
  <sheetViews>
    <sheetView workbookViewId="0">
      <selection activeCell="H23" sqref="H23"/>
    </sheetView>
  </sheetViews>
  <sheetFormatPr defaultColWidth="9" defaultRowHeight="19" x14ac:dyDescent="0.45"/>
  <cols>
    <col min="1" max="16384" width="9" style="87"/>
  </cols>
  <sheetData>
    <row r="1" spans="1:2" x14ac:dyDescent="0.45">
      <c r="A1" s="87" t="s">
        <v>4</v>
      </c>
      <c r="B1" s="87" t="s">
        <v>77</v>
      </c>
    </row>
    <row r="2" spans="1:2" x14ac:dyDescent="0.45">
      <c r="A2" s="87" t="s">
        <v>39</v>
      </c>
      <c r="B2" s="87">
        <v>1.32</v>
      </c>
    </row>
    <row r="3" spans="1:2" x14ac:dyDescent="0.45">
      <c r="A3" s="87" t="s">
        <v>18</v>
      </c>
      <c r="B3" s="87">
        <v>1.34</v>
      </c>
    </row>
    <row r="4" spans="1:2" x14ac:dyDescent="0.45">
      <c r="A4" s="87" t="s">
        <v>25</v>
      </c>
      <c r="B4" s="87">
        <v>1.49</v>
      </c>
    </row>
    <row r="5" spans="1:2" x14ac:dyDescent="0.45">
      <c r="A5" s="87" t="s">
        <v>30</v>
      </c>
      <c r="B5" s="87">
        <v>0.44</v>
      </c>
    </row>
    <row r="6" spans="1:2" x14ac:dyDescent="0.45">
      <c r="A6" s="87" t="s">
        <v>46</v>
      </c>
      <c r="B6" s="87">
        <v>1.29</v>
      </c>
    </row>
    <row r="7" spans="1:2" x14ac:dyDescent="0.45">
      <c r="A7" s="87" t="s">
        <v>56</v>
      </c>
      <c r="B7" s="87">
        <v>1.74</v>
      </c>
    </row>
    <row r="8" spans="1:2" x14ac:dyDescent="0.45">
      <c r="A8" s="87" t="s">
        <v>42</v>
      </c>
      <c r="B8" s="87">
        <v>1.23</v>
      </c>
    </row>
    <row r="9" spans="1:2" x14ac:dyDescent="0.45">
      <c r="A9" s="87" t="s">
        <v>54</v>
      </c>
      <c r="B9" s="87">
        <v>1.26</v>
      </c>
    </row>
    <row r="10" spans="1:2" x14ac:dyDescent="0.45">
      <c r="A10" s="87" t="s">
        <v>47</v>
      </c>
      <c r="B10" s="87">
        <v>1.1000000000000001</v>
      </c>
    </row>
    <row r="11" spans="1:2" x14ac:dyDescent="0.45">
      <c r="A11" s="87" t="s">
        <v>61</v>
      </c>
      <c r="B11" s="87">
        <v>0.93</v>
      </c>
    </row>
    <row r="12" spans="1:2" x14ac:dyDescent="0.45">
      <c r="A12" s="87" t="s">
        <v>64</v>
      </c>
      <c r="B12" s="87">
        <v>0.89</v>
      </c>
    </row>
    <row r="13" spans="1:2" x14ac:dyDescent="0.45">
      <c r="A13" s="87" t="s">
        <v>63</v>
      </c>
      <c r="B13" s="87">
        <v>1.06</v>
      </c>
    </row>
    <row r="14" spans="1:2" x14ac:dyDescent="0.45">
      <c r="A14" s="87" t="s">
        <v>24</v>
      </c>
      <c r="B14" s="87">
        <v>1.74</v>
      </c>
    </row>
    <row r="15" spans="1:2" x14ac:dyDescent="0.45">
      <c r="A15" s="87" t="s">
        <v>71</v>
      </c>
      <c r="B15" s="87">
        <v>1.51</v>
      </c>
    </row>
    <row r="16" spans="1:2" x14ac:dyDescent="0.45">
      <c r="A16" s="87" t="s">
        <v>29</v>
      </c>
      <c r="B16" s="87">
        <v>-0.02</v>
      </c>
    </row>
    <row r="17" spans="1:2" x14ac:dyDescent="0.45">
      <c r="A17" s="87" t="s">
        <v>69</v>
      </c>
      <c r="B17" s="87">
        <v>0.99</v>
      </c>
    </row>
    <row r="18" spans="1:2" x14ac:dyDescent="0.45">
      <c r="A18" s="87" t="s">
        <v>66</v>
      </c>
      <c r="B18" s="87">
        <v>1.0900000000000001</v>
      </c>
    </row>
    <row r="19" spans="1:2" x14ac:dyDescent="0.45">
      <c r="A19" s="87" t="s">
        <v>68</v>
      </c>
      <c r="B19" s="87">
        <v>1.48</v>
      </c>
    </row>
    <row r="20" spans="1:2" x14ac:dyDescent="0.45">
      <c r="A20" s="87" t="s">
        <v>34</v>
      </c>
      <c r="B20" s="87">
        <v>2.0699999999999998</v>
      </c>
    </row>
    <row r="21" spans="1:2" x14ac:dyDescent="0.45">
      <c r="A21" s="87" t="s">
        <v>33</v>
      </c>
      <c r="B21" s="87">
        <v>1.1599999999999999</v>
      </c>
    </row>
    <row r="22" spans="1:2" x14ac:dyDescent="0.45">
      <c r="A22" s="87" t="s">
        <v>58</v>
      </c>
      <c r="B22" s="87">
        <v>2.57</v>
      </c>
    </row>
    <row r="23" spans="1:2" x14ac:dyDescent="0.45">
      <c r="A23" s="87" t="s">
        <v>78</v>
      </c>
      <c r="B23" s="87">
        <v>0.34</v>
      </c>
    </row>
    <row r="24" spans="1:2" x14ac:dyDescent="0.45">
      <c r="A24" s="87" t="s">
        <v>51</v>
      </c>
      <c r="B24" s="87">
        <v>1.57</v>
      </c>
    </row>
    <row r="25" spans="1:2" x14ac:dyDescent="0.45">
      <c r="A25" s="87" t="s">
        <v>57</v>
      </c>
      <c r="B25" s="87">
        <v>1.07</v>
      </c>
    </row>
    <row r="26" spans="1:2" x14ac:dyDescent="0.45">
      <c r="A26" s="87" t="s">
        <v>40</v>
      </c>
      <c r="B26" s="87">
        <v>1.1599999999999999</v>
      </c>
    </row>
    <row r="27" spans="1:2" x14ac:dyDescent="0.45">
      <c r="A27" s="87" t="s">
        <v>49</v>
      </c>
      <c r="B27" s="87">
        <v>1</v>
      </c>
    </row>
    <row r="28" spans="1:2" x14ac:dyDescent="0.45">
      <c r="A28" s="87" t="s">
        <v>22</v>
      </c>
      <c r="B28" s="87">
        <v>0.92</v>
      </c>
    </row>
    <row r="29" spans="1:2" x14ac:dyDescent="0.45">
      <c r="A29" s="87" t="s">
        <v>28</v>
      </c>
      <c r="B29" s="87">
        <v>1.4</v>
      </c>
    </row>
    <row r="30" spans="1:2" x14ac:dyDescent="0.45">
      <c r="A30" s="87" t="s">
        <v>10</v>
      </c>
      <c r="B30" s="87">
        <v>1.7</v>
      </c>
    </row>
    <row r="31" spans="1:2" x14ac:dyDescent="0.45">
      <c r="A31" s="87" t="s">
        <v>36</v>
      </c>
      <c r="B31" s="87">
        <v>1.06</v>
      </c>
    </row>
    <row r="32" spans="1:2" x14ac:dyDescent="0.45">
      <c r="A32" s="87" t="s">
        <v>41</v>
      </c>
      <c r="B32" s="87">
        <v>1.53</v>
      </c>
    </row>
    <row r="33" spans="1:2" x14ac:dyDescent="0.45">
      <c r="A33" s="87" t="s">
        <v>55</v>
      </c>
      <c r="B33" s="87">
        <v>1.43</v>
      </c>
    </row>
    <row r="34" spans="1:2" x14ac:dyDescent="0.45">
      <c r="A34" s="87" t="s">
        <v>79</v>
      </c>
      <c r="B34" s="87">
        <v>1.1599999999999999</v>
      </c>
    </row>
    <row r="35" spans="1:2" x14ac:dyDescent="0.45">
      <c r="A35" s="87" t="s">
        <v>35</v>
      </c>
      <c r="B35" s="87">
        <v>1.21</v>
      </c>
    </row>
    <row r="36" spans="1:2" x14ac:dyDescent="0.45">
      <c r="A36" s="87" t="s">
        <v>80</v>
      </c>
      <c r="B36" s="87">
        <v>0.59</v>
      </c>
    </row>
    <row r="37" spans="1:2" x14ac:dyDescent="0.45">
      <c r="A37" s="87" t="s">
        <v>11</v>
      </c>
      <c r="B37" s="87">
        <v>1.03</v>
      </c>
    </row>
    <row r="38" spans="1:2" x14ac:dyDescent="0.45">
      <c r="A38" s="87" t="s">
        <v>48</v>
      </c>
      <c r="B38" s="87">
        <v>1.77</v>
      </c>
    </row>
    <row r="39" spans="1:2" x14ac:dyDescent="0.45">
      <c r="A39" s="87" t="s">
        <v>32</v>
      </c>
      <c r="B39" s="87">
        <v>1.57</v>
      </c>
    </row>
    <row r="40" spans="1:2" x14ac:dyDescent="0.45">
      <c r="A40" s="87" t="s">
        <v>16</v>
      </c>
      <c r="B40" s="87">
        <v>3.09</v>
      </c>
    </row>
    <row r="41" spans="1:2" x14ac:dyDescent="0.45">
      <c r="A41" s="87" t="s">
        <v>62</v>
      </c>
      <c r="B41" s="87">
        <v>1.37</v>
      </c>
    </row>
    <row r="42" spans="1:2" x14ac:dyDescent="0.45">
      <c r="A42" s="87" t="s">
        <v>59</v>
      </c>
      <c r="B42" s="87">
        <v>1.06</v>
      </c>
    </row>
    <row r="43" spans="1:2" x14ac:dyDescent="0.45">
      <c r="A43" s="87" t="s">
        <v>12</v>
      </c>
      <c r="B43" s="87">
        <v>1.21</v>
      </c>
    </row>
    <row r="44" spans="1:2" x14ac:dyDescent="0.45">
      <c r="A44" s="87" t="s">
        <v>8</v>
      </c>
      <c r="B44" s="87">
        <v>1.0900000000000001</v>
      </c>
    </row>
    <row r="45" spans="1:2" x14ac:dyDescent="0.45">
      <c r="A45" s="87" t="s">
        <v>19</v>
      </c>
      <c r="B45" s="87">
        <v>1.2</v>
      </c>
    </row>
    <row r="46" spans="1:2" x14ac:dyDescent="0.45">
      <c r="A46" s="87" t="s">
        <v>50</v>
      </c>
      <c r="B46" s="87">
        <v>1.02</v>
      </c>
    </row>
    <row r="47" spans="1:2" x14ac:dyDescent="0.45">
      <c r="A47" s="87" t="s">
        <v>17</v>
      </c>
      <c r="B47" s="87">
        <v>1.35</v>
      </c>
    </row>
    <row r="48" spans="1:2" x14ac:dyDescent="0.45">
      <c r="A48" s="87" t="s">
        <v>26</v>
      </c>
      <c r="B48" s="87">
        <v>1.67</v>
      </c>
    </row>
    <row r="49" spans="1:2" x14ac:dyDescent="0.45">
      <c r="A49" s="87" t="s">
        <v>21</v>
      </c>
      <c r="B49" s="87">
        <v>1.18</v>
      </c>
    </row>
    <row r="50" spans="1:2" x14ac:dyDescent="0.45">
      <c r="A50" s="87" t="s">
        <v>70</v>
      </c>
      <c r="B50" s="87">
        <v>0.31</v>
      </c>
    </row>
    <row r="51" spans="1:2" x14ac:dyDescent="0.45">
      <c r="A51" s="87" t="s">
        <v>43</v>
      </c>
      <c r="B51" s="87">
        <v>1.52</v>
      </c>
    </row>
    <row r="52" spans="1:2" x14ac:dyDescent="0.45">
      <c r="A52" s="87" t="s">
        <v>65</v>
      </c>
      <c r="B52" s="87">
        <v>1.33</v>
      </c>
    </row>
    <row r="53" spans="1:2" x14ac:dyDescent="0.45">
      <c r="A53" s="87" t="s">
        <v>81</v>
      </c>
      <c r="B53" s="87">
        <v>0.92</v>
      </c>
    </row>
  </sheetData>
  <phoneticPr fontId="2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9"/>
  <sheetViews>
    <sheetView workbookViewId="0">
      <selection activeCell="O14" sqref="O14"/>
    </sheetView>
  </sheetViews>
  <sheetFormatPr defaultColWidth="9" defaultRowHeight="14" x14ac:dyDescent="0.25"/>
  <sheetData>
    <row r="1" spans="1:11" ht="13.5" customHeight="1" x14ac:dyDescent="0.25">
      <c r="A1" s="102" t="s">
        <v>82</v>
      </c>
      <c r="B1" s="102"/>
      <c r="C1" s="102"/>
      <c r="D1" s="102"/>
      <c r="E1" s="102"/>
      <c r="F1" s="102"/>
      <c r="G1" s="102"/>
      <c r="H1" s="102"/>
      <c r="I1" s="102"/>
      <c r="J1" s="102"/>
      <c r="K1" s="102"/>
    </row>
    <row r="2" spans="1:11" ht="13.5" customHeight="1" x14ac:dyDescent="0.25">
      <c r="A2" s="102"/>
      <c r="B2" s="102"/>
      <c r="C2" s="102"/>
      <c r="D2" s="102"/>
      <c r="E2" s="102"/>
      <c r="F2" s="102"/>
      <c r="G2" s="102"/>
      <c r="H2" s="102"/>
      <c r="I2" s="102"/>
      <c r="J2" s="102"/>
      <c r="K2" s="102"/>
    </row>
    <row r="3" spans="1:11" ht="13.5" customHeight="1" x14ac:dyDescent="0.25">
      <c r="A3" s="102"/>
      <c r="B3" s="102"/>
      <c r="C3" s="102"/>
      <c r="D3" s="102"/>
      <c r="E3" s="102"/>
      <c r="F3" s="102"/>
      <c r="G3" s="102"/>
      <c r="H3" s="102"/>
      <c r="I3" s="102"/>
      <c r="J3" s="102"/>
      <c r="K3" s="102"/>
    </row>
    <row r="4" spans="1:11" ht="13.5" customHeight="1" x14ac:dyDescent="0.25">
      <c r="A4" s="102"/>
      <c r="B4" s="102"/>
      <c r="C4" s="102"/>
      <c r="D4" s="102"/>
      <c r="E4" s="102"/>
      <c r="F4" s="102"/>
      <c r="G4" s="102"/>
      <c r="H4" s="102"/>
      <c r="I4" s="102"/>
      <c r="J4" s="102"/>
      <c r="K4" s="102"/>
    </row>
    <row r="5" spans="1:11" ht="13.5" customHeight="1" x14ac:dyDescent="0.25">
      <c r="A5" s="102"/>
      <c r="B5" s="102"/>
      <c r="C5" s="102"/>
      <c r="D5" s="102"/>
      <c r="E5" s="102"/>
      <c r="F5" s="102"/>
      <c r="G5" s="102"/>
      <c r="H5" s="102"/>
      <c r="I5" s="102"/>
      <c r="J5" s="102"/>
      <c r="K5" s="102"/>
    </row>
    <row r="6" spans="1:11" ht="13.5" customHeight="1" x14ac:dyDescent="0.25">
      <c r="A6" s="102"/>
      <c r="B6" s="102"/>
      <c r="C6" s="102"/>
      <c r="D6" s="102"/>
      <c r="E6" s="102"/>
      <c r="F6" s="102"/>
      <c r="G6" s="102"/>
      <c r="H6" s="102"/>
      <c r="I6" s="102"/>
      <c r="J6" s="102"/>
      <c r="K6" s="102"/>
    </row>
    <row r="7" spans="1:11" ht="13.5" customHeight="1" x14ac:dyDescent="0.25">
      <c r="A7" s="102"/>
      <c r="B7" s="102"/>
      <c r="C7" s="102"/>
      <c r="D7" s="102"/>
      <c r="E7" s="102"/>
      <c r="F7" s="102"/>
      <c r="G7" s="102"/>
      <c r="H7" s="102"/>
      <c r="I7" s="102"/>
      <c r="J7" s="102"/>
      <c r="K7" s="102"/>
    </row>
    <row r="8" spans="1:11" ht="13.5" customHeight="1" x14ac:dyDescent="0.25">
      <c r="A8" s="102"/>
      <c r="B8" s="102"/>
      <c r="C8" s="102"/>
      <c r="D8" s="102"/>
      <c r="E8" s="102"/>
      <c r="F8" s="102"/>
      <c r="G8" s="102"/>
      <c r="H8" s="102"/>
      <c r="I8" s="102"/>
      <c r="J8" s="102"/>
      <c r="K8" s="102"/>
    </row>
    <row r="9" spans="1:11" ht="13.5" customHeight="1" x14ac:dyDescent="0.25">
      <c r="A9" s="102"/>
      <c r="B9" s="102"/>
      <c r="C9" s="102"/>
      <c r="D9" s="102"/>
      <c r="E9" s="102"/>
      <c r="F9" s="102"/>
      <c r="G9" s="102"/>
      <c r="H9" s="102"/>
      <c r="I9" s="102"/>
      <c r="J9" s="102"/>
      <c r="K9" s="102"/>
    </row>
    <row r="10" spans="1:11" ht="13.5" customHeight="1" x14ac:dyDescent="0.25">
      <c r="A10" s="102"/>
      <c r="B10" s="102"/>
      <c r="C10" s="102"/>
      <c r="D10" s="102"/>
      <c r="E10" s="102"/>
      <c r="F10" s="102"/>
      <c r="G10" s="102"/>
      <c r="H10" s="102"/>
      <c r="I10" s="102"/>
      <c r="J10" s="102"/>
      <c r="K10" s="102"/>
    </row>
    <row r="11" spans="1:11" ht="13.5" customHeight="1" x14ac:dyDescent="0.25">
      <c r="A11" s="102"/>
      <c r="B11" s="102"/>
      <c r="C11" s="102"/>
      <c r="D11" s="102"/>
      <c r="E11" s="102"/>
      <c r="F11" s="102"/>
      <c r="G11" s="102"/>
      <c r="H11" s="102"/>
      <c r="I11" s="102"/>
      <c r="J11" s="102"/>
      <c r="K11" s="102"/>
    </row>
    <row r="12" spans="1:11" ht="13.5" customHeight="1" x14ac:dyDescent="0.25">
      <c r="A12" s="102"/>
      <c r="B12" s="102"/>
      <c r="C12" s="102"/>
      <c r="D12" s="102"/>
      <c r="E12" s="102"/>
      <c r="F12" s="102"/>
      <c r="G12" s="102"/>
      <c r="H12" s="102"/>
      <c r="I12" s="102"/>
      <c r="J12" s="102"/>
      <c r="K12" s="102"/>
    </row>
    <row r="13" spans="1:11" ht="13.5" customHeight="1" x14ac:dyDescent="0.25">
      <c r="A13" s="102"/>
      <c r="B13" s="102"/>
      <c r="C13" s="102"/>
      <c r="D13" s="102"/>
      <c r="E13" s="102"/>
      <c r="F13" s="102"/>
      <c r="G13" s="102"/>
      <c r="H13" s="102"/>
      <c r="I13" s="102"/>
      <c r="J13" s="102"/>
      <c r="K13" s="102"/>
    </row>
    <row r="14" spans="1:11" ht="13.5" customHeight="1" x14ac:dyDescent="0.25">
      <c r="A14" s="102"/>
      <c r="B14" s="102"/>
      <c r="C14" s="102"/>
      <c r="D14" s="102"/>
      <c r="E14" s="102"/>
      <c r="F14" s="102"/>
      <c r="G14" s="102"/>
      <c r="H14" s="102"/>
      <c r="I14" s="102"/>
      <c r="J14" s="102"/>
      <c r="K14" s="102"/>
    </row>
    <row r="15" spans="1:11" ht="13.5" customHeight="1" x14ac:dyDescent="0.25">
      <c r="A15" s="102"/>
      <c r="B15" s="102"/>
      <c r="C15" s="102"/>
      <c r="D15" s="102"/>
      <c r="E15" s="102"/>
      <c r="F15" s="102"/>
      <c r="G15" s="102"/>
      <c r="H15" s="102"/>
      <c r="I15" s="102"/>
      <c r="J15" s="102"/>
      <c r="K15" s="102"/>
    </row>
    <row r="16" spans="1:11" ht="13.5" customHeight="1" x14ac:dyDescent="0.25">
      <c r="A16" s="102"/>
      <c r="B16" s="102"/>
      <c r="C16" s="102"/>
      <c r="D16" s="102"/>
      <c r="E16" s="102"/>
      <c r="F16" s="102"/>
      <c r="G16" s="102"/>
      <c r="H16" s="102"/>
      <c r="I16" s="102"/>
      <c r="J16" s="102"/>
      <c r="K16" s="102"/>
    </row>
    <row r="17" spans="1:11" ht="13.5" customHeight="1" x14ac:dyDescent="0.25">
      <c r="A17" s="102"/>
      <c r="B17" s="102"/>
      <c r="C17" s="102"/>
      <c r="D17" s="102"/>
      <c r="E17" s="102"/>
      <c r="F17" s="102"/>
      <c r="G17" s="102"/>
      <c r="H17" s="102"/>
      <c r="I17" s="102"/>
      <c r="J17" s="102"/>
      <c r="K17" s="102"/>
    </row>
    <row r="18" spans="1:11" ht="13.5" customHeight="1" x14ac:dyDescent="0.25">
      <c r="A18" s="102"/>
      <c r="B18" s="102"/>
      <c r="C18" s="102"/>
      <c r="D18" s="102"/>
      <c r="E18" s="102"/>
      <c r="F18" s="102"/>
      <c r="G18" s="102"/>
      <c r="H18" s="102"/>
      <c r="I18" s="102"/>
      <c r="J18" s="102"/>
      <c r="K18" s="102"/>
    </row>
    <row r="19" spans="1:11" ht="13.5" customHeight="1" x14ac:dyDescent="0.25">
      <c r="A19" s="102"/>
      <c r="B19" s="102"/>
      <c r="C19" s="102"/>
      <c r="D19" s="102"/>
      <c r="E19" s="102"/>
      <c r="F19" s="102"/>
      <c r="G19" s="102"/>
      <c r="H19" s="102"/>
      <c r="I19" s="102"/>
      <c r="J19" s="102"/>
      <c r="K19" s="102"/>
    </row>
    <row r="20" spans="1:11" ht="13.5" customHeight="1" x14ac:dyDescent="0.25">
      <c r="A20" s="102"/>
      <c r="B20" s="102"/>
      <c r="C20" s="102"/>
      <c r="D20" s="102"/>
      <c r="E20" s="102"/>
      <c r="F20" s="102"/>
      <c r="G20" s="102"/>
      <c r="H20" s="102"/>
      <c r="I20" s="102"/>
      <c r="J20" s="102"/>
      <c r="K20" s="102"/>
    </row>
    <row r="21" spans="1:11" ht="13.5" customHeight="1" x14ac:dyDescent="0.25">
      <c r="A21" s="102"/>
      <c r="B21" s="102"/>
      <c r="C21" s="102"/>
      <c r="D21" s="102"/>
      <c r="E21" s="102"/>
      <c r="F21" s="102"/>
      <c r="G21" s="102"/>
      <c r="H21" s="102"/>
      <c r="I21" s="102"/>
      <c r="J21" s="102"/>
      <c r="K21" s="102"/>
    </row>
    <row r="22" spans="1:11" ht="13.5" customHeight="1" x14ac:dyDescent="0.25">
      <c r="A22" s="102"/>
      <c r="B22" s="102"/>
      <c r="C22" s="102"/>
      <c r="D22" s="102"/>
      <c r="E22" s="102"/>
      <c r="F22" s="102"/>
      <c r="G22" s="102"/>
      <c r="H22" s="102"/>
      <c r="I22" s="102"/>
      <c r="J22" s="102"/>
      <c r="K22" s="102"/>
    </row>
    <row r="23" spans="1:11" ht="13.5" customHeight="1" x14ac:dyDescent="0.25">
      <c r="A23" s="102"/>
      <c r="B23" s="102"/>
      <c r="C23" s="102"/>
      <c r="D23" s="102"/>
      <c r="E23" s="102"/>
      <c r="F23" s="102"/>
      <c r="G23" s="102"/>
      <c r="H23" s="102"/>
      <c r="I23" s="102"/>
      <c r="J23" s="102"/>
      <c r="K23" s="102"/>
    </row>
    <row r="24" spans="1:11" ht="13.5" customHeight="1" x14ac:dyDescent="0.25">
      <c r="A24" s="102"/>
      <c r="B24" s="102"/>
      <c r="C24" s="102"/>
      <c r="D24" s="102"/>
      <c r="E24" s="102"/>
      <c r="F24" s="102"/>
      <c r="G24" s="102"/>
      <c r="H24" s="102"/>
      <c r="I24" s="102"/>
      <c r="J24" s="102"/>
      <c r="K24" s="102"/>
    </row>
    <row r="25" spans="1:11" ht="13.5" customHeight="1" x14ac:dyDescent="0.25">
      <c r="A25" s="102"/>
      <c r="B25" s="102"/>
      <c r="C25" s="102"/>
      <c r="D25" s="102"/>
      <c r="E25" s="102"/>
      <c r="F25" s="102"/>
      <c r="G25" s="102"/>
      <c r="H25" s="102"/>
      <c r="I25" s="102"/>
      <c r="J25" s="102"/>
      <c r="K25" s="102"/>
    </row>
    <row r="26" spans="1:11" ht="13.5" customHeight="1" x14ac:dyDescent="0.25">
      <c r="A26" s="102"/>
      <c r="B26" s="102"/>
      <c r="C26" s="102"/>
      <c r="D26" s="102"/>
      <c r="E26" s="102"/>
      <c r="F26" s="102"/>
      <c r="G26" s="102"/>
      <c r="H26" s="102"/>
      <c r="I26" s="102"/>
      <c r="J26" s="102"/>
      <c r="K26" s="102"/>
    </row>
    <row r="27" spans="1:11" ht="13.5" customHeight="1" x14ac:dyDescent="0.25">
      <c r="A27" s="102"/>
      <c r="B27" s="102"/>
      <c r="C27" s="102"/>
      <c r="D27" s="102"/>
      <c r="E27" s="102"/>
      <c r="F27" s="102"/>
      <c r="G27" s="102"/>
      <c r="H27" s="102"/>
      <c r="I27" s="102"/>
      <c r="J27" s="102"/>
      <c r="K27" s="102"/>
    </row>
    <row r="28" spans="1:11" ht="13.5" customHeight="1" x14ac:dyDescent="0.25">
      <c r="A28" s="102"/>
      <c r="B28" s="102"/>
      <c r="C28" s="102"/>
      <c r="D28" s="102"/>
      <c r="E28" s="102"/>
      <c r="F28" s="102"/>
      <c r="G28" s="102"/>
      <c r="H28" s="102"/>
      <c r="I28" s="102"/>
      <c r="J28" s="102"/>
      <c r="K28" s="102"/>
    </row>
    <row r="29" spans="1:11" ht="13.5" customHeight="1" x14ac:dyDescent="0.25">
      <c r="A29" s="102"/>
      <c r="B29" s="102"/>
      <c r="C29" s="102"/>
      <c r="D29" s="102"/>
      <c r="E29" s="102"/>
      <c r="F29" s="102"/>
      <c r="G29" s="102"/>
      <c r="H29" s="102"/>
      <c r="I29" s="102"/>
      <c r="J29" s="102"/>
      <c r="K29" s="102"/>
    </row>
    <row r="30" spans="1:11" ht="13.5" customHeight="1" x14ac:dyDescent="0.25">
      <c r="A30" s="102"/>
      <c r="B30" s="102"/>
      <c r="C30" s="102"/>
      <c r="D30" s="102"/>
      <c r="E30" s="102"/>
      <c r="F30" s="102"/>
      <c r="G30" s="102"/>
      <c r="H30" s="102"/>
      <c r="I30" s="102"/>
      <c r="J30" s="102"/>
      <c r="K30" s="102"/>
    </row>
    <row r="31" spans="1:11" ht="13.5" customHeight="1" x14ac:dyDescent="0.25">
      <c r="A31" s="102"/>
      <c r="B31" s="102"/>
      <c r="C31" s="102"/>
      <c r="D31" s="102"/>
      <c r="E31" s="102"/>
      <c r="F31" s="102"/>
      <c r="G31" s="102"/>
      <c r="H31" s="102"/>
      <c r="I31" s="102"/>
      <c r="J31" s="102"/>
      <c r="K31" s="102"/>
    </row>
    <row r="32" spans="1:11" ht="13.5" customHeight="1" x14ac:dyDescent="0.25">
      <c r="A32" s="102"/>
      <c r="B32" s="102"/>
      <c r="C32" s="102"/>
      <c r="D32" s="102"/>
      <c r="E32" s="102"/>
      <c r="F32" s="102"/>
      <c r="G32" s="102"/>
      <c r="H32" s="102"/>
      <c r="I32" s="102"/>
      <c r="J32" s="102"/>
      <c r="K32" s="102"/>
    </row>
    <row r="33" spans="1:11" ht="13.5" customHeight="1" x14ac:dyDescent="0.25">
      <c r="A33" s="102"/>
      <c r="B33" s="102"/>
      <c r="C33" s="102"/>
      <c r="D33" s="102"/>
      <c r="E33" s="102"/>
      <c r="F33" s="102"/>
      <c r="G33" s="102"/>
      <c r="H33" s="102"/>
      <c r="I33" s="102"/>
      <c r="J33" s="102"/>
      <c r="K33" s="102"/>
    </row>
    <row r="34" spans="1:11" ht="13.5" customHeight="1" x14ac:dyDescent="0.25">
      <c r="A34" s="102"/>
      <c r="B34" s="102"/>
      <c r="C34" s="102"/>
      <c r="D34" s="102"/>
      <c r="E34" s="102"/>
      <c r="F34" s="102"/>
      <c r="G34" s="102"/>
      <c r="H34" s="102"/>
      <c r="I34" s="102"/>
      <c r="J34" s="102"/>
      <c r="K34" s="102"/>
    </row>
    <row r="35" spans="1:11" ht="13.5" customHeight="1" x14ac:dyDescent="0.25">
      <c r="A35" s="102"/>
      <c r="B35" s="102"/>
      <c r="C35" s="102"/>
      <c r="D35" s="102"/>
      <c r="E35" s="102"/>
      <c r="F35" s="102"/>
      <c r="G35" s="102"/>
      <c r="H35" s="102"/>
      <c r="I35" s="102"/>
      <c r="J35" s="102"/>
      <c r="K35" s="102"/>
    </row>
    <row r="36" spans="1:11" ht="13.5" customHeight="1" x14ac:dyDescent="0.25">
      <c r="A36" s="102"/>
      <c r="B36" s="102"/>
      <c r="C36" s="102"/>
      <c r="D36" s="102"/>
      <c r="E36" s="102"/>
      <c r="F36" s="102"/>
      <c r="G36" s="102"/>
      <c r="H36" s="102"/>
      <c r="I36" s="102"/>
      <c r="J36" s="102"/>
      <c r="K36" s="102"/>
    </row>
    <row r="37" spans="1:11" ht="13.5" customHeight="1" x14ac:dyDescent="0.25">
      <c r="A37" s="102"/>
      <c r="B37" s="102"/>
      <c r="C37" s="102"/>
      <c r="D37" s="102"/>
      <c r="E37" s="102"/>
      <c r="F37" s="102"/>
      <c r="G37" s="102"/>
      <c r="H37" s="102"/>
      <c r="I37" s="102"/>
      <c r="J37" s="102"/>
      <c r="K37" s="102"/>
    </row>
    <row r="38" spans="1:11" ht="13.5" customHeight="1" x14ac:dyDescent="0.25">
      <c r="A38" s="86"/>
      <c r="B38" s="86"/>
      <c r="C38" s="86"/>
      <c r="D38" s="86"/>
      <c r="E38" s="86"/>
      <c r="F38" s="86"/>
      <c r="G38" s="86"/>
      <c r="H38" s="86"/>
      <c r="I38" s="86"/>
      <c r="J38" s="86"/>
      <c r="K38" s="86"/>
    </row>
    <row r="39" spans="1:11" ht="13.5" customHeight="1" x14ac:dyDescent="0.25">
      <c r="A39" s="86"/>
      <c r="B39" s="86"/>
      <c r="C39" s="86"/>
      <c r="D39" s="86"/>
      <c r="E39" s="86"/>
      <c r="F39" s="86"/>
      <c r="G39" s="86"/>
      <c r="H39" s="86"/>
      <c r="I39" s="86"/>
      <c r="J39" s="86"/>
      <c r="K39" s="86"/>
    </row>
    <row r="40" spans="1:11" ht="13.5" customHeight="1" x14ac:dyDescent="0.25">
      <c r="A40" s="86"/>
      <c r="B40" s="86"/>
      <c r="C40" s="86"/>
      <c r="D40" s="86"/>
      <c r="E40" s="86"/>
      <c r="F40" s="86"/>
      <c r="G40" s="86"/>
      <c r="H40" s="86"/>
      <c r="I40" s="86"/>
      <c r="J40" s="86"/>
      <c r="K40" s="86"/>
    </row>
    <row r="41" spans="1:11" ht="13.5" customHeight="1" x14ac:dyDescent="0.25">
      <c r="A41" s="86"/>
      <c r="B41" s="86"/>
      <c r="C41" s="86"/>
      <c r="D41" s="86"/>
      <c r="E41" s="86"/>
      <c r="F41" s="86"/>
      <c r="G41" s="86"/>
      <c r="H41" s="86"/>
      <c r="I41" s="86"/>
      <c r="J41" s="86"/>
      <c r="K41" s="86"/>
    </row>
    <row r="42" spans="1:11" ht="13.5" customHeight="1" x14ac:dyDescent="0.25">
      <c r="A42" s="86"/>
      <c r="B42" s="86"/>
      <c r="C42" s="86"/>
      <c r="D42" s="86"/>
      <c r="E42" s="86"/>
      <c r="F42" s="86"/>
      <c r="G42" s="86"/>
      <c r="H42" s="86"/>
      <c r="I42" s="86"/>
      <c r="J42" s="86"/>
      <c r="K42" s="86"/>
    </row>
    <row r="43" spans="1:11" ht="13.5" customHeight="1" x14ac:dyDescent="0.25">
      <c r="A43" s="86"/>
      <c r="B43" s="86"/>
      <c r="C43" s="86"/>
      <c r="D43" s="86"/>
      <c r="E43" s="86"/>
      <c r="F43" s="86"/>
      <c r="G43" s="86"/>
      <c r="H43" s="86"/>
      <c r="I43" s="86"/>
      <c r="J43" s="86"/>
      <c r="K43" s="86"/>
    </row>
    <row r="44" spans="1:11" ht="13.5" customHeight="1" x14ac:dyDescent="0.25">
      <c r="A44" s="86"/>
      <c r="B44" s="86"/>
      <c r="C44" s="86"/>
      <c r="D44" s="86"/>
      <c r="E44" s="86"/>
      <c r="F44" s="86"/>
      <c r="G44" s="86"/>
      <c r="H44" s="86"/>
      <c r="I44" s="86"/>
      <c r="J44" s="86"/>
      <c r="K44" s="86"/>
    </row>
    <row r="45" spans="1:11" ht="13.5" customHeight="1" x14ac:dyDescent="0.25">
      <c r="A45" s="86"/>
      <c r="B45" s="86"/>
      <c r="C45" s="86"/>
      <c r="D45" s="86"/>
      <c r="E45" s="86"/>
      <c r="F45" s="86"/>
      <c r="G45" s="86"/>
      <c r="H45" s="86"/>
      <c r="I45" s="86"/>
      <c r="J45" s="86"/>
      <c r="K45" s="86"/>
    </row>
    <row r="46" spans="1:11" ht="13.5" customHeight="1" x14ac:dyDescent="0.25">
      <c r="A46" s="86"/>
      <c r="B46" s="86"/>
      <c r="C46" s="86"/>
      <c r="D46" s="86"/>
      <c r="E46" s="86"/>
      <c r="F46" s="86"/>
      <c r="G46" s="86"/>
      <c r="H46" s="86"/>
      <c r="I46" s="86"/>
      <c r="J46" s="86"/>
      <c r="K46" s="86"/>
    </row>
    <row r="47" spans="1:11" ht="13.5" customHeight="1" x14ac:dyDescent="0.25">
      <c r="A47" s="86"/>
      <c r="B47" s="86"/>
      <c r="C47" s="86"/>
      <c r="D47" s="86"/>
      <c r="E47" s="86"/>
      <c r="F47" s="86"/>
      <c r="G47" s="86"/>
      <c r="H47" s="86"/>
      <c r="I47" s="86"/>
      <c r="J47" s="86"/>
      <c r="K47" s="86"/>
    </row>
    <row r="48" spans="1:11" ht="13.5" customHeight="1" x14ac:dyDescent="0.25">
      <c r="A48" s="86"/>
      <c r="B48" s="86"/>
      <c r="C48" s="86"/>
      <c r="D48" s="86"/>
      <c r="E48" s="86"/>
      <c r="F48" s="86"/>
      <c r="G48" s="86"/>
      <c r="H48" s="86"/>
      <c r="I48" s="86"/>
      <c r="J48" s="86"/>
      <c r="K48" s="86"/>
    </row>
    <row r="49" spans="1:11" ht="13.5" customHeight="1" x14ac:dyDescent="0.25">
      <c r="A49" s="86"/>
      <c r="B49" s="86"/>
      <c r="C49" s="86"/>
      <c r="D49" s="86"/>
      <c r="E49" s="86"/>
      <c r="F49" s="86"/>
      <c r="G49" s="86"/>
      <c r="H49" s="86"/>
      <c r="I49" s="86"/>
      <c r="J49" s="86"/>
      <c r="K49" s="86"/>
    </row>
  </sheetData>
  <mergeCells count="1">
    <mergeCell ref="A1:K37"/>
  </mergeCells>
  <phoneticPr fontId="2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sheetPr>
  <dimension ref="A1:X67"/>
  <sheetViews>
    <sheetView showGridLines="0" workbookViewId="0">
      <pane xSplit="3" ySplit="12" topLeftCell="D13" activePane="bottomRight" state="frozen"/>
      <selection pane="topRight"/>
      <selection pane="bottomLeft"/>
      <selection pane="bottomRight" activeCell="H15" sqref="H15"/>
    </sheetView>
  </sheetViews>
  <sheetFormatPr defaultColWidth="9" defaultRowHeight="22" customHeight="1" x14ac:dyDescent="0.25"/>
  <cols>
    <col min="1" max="1" width="4.08984375" style="14" customWidth="1"/>
    <col min="2" max="2" width="10.90625" style="14" customWidth="1"/>
    <col min="3" max="3" width="9.90625" style="14" customWidth="1"/>
    <col min="4" max="4" width="10.08984375" style="15" customWidth="1"/>
    <col min="5" max="5" width="11.26953125" style="14" customWidth="1"/>
    <col min="6" max="6" width="11.08984375" style="14" customWidth="1"/>
    <col min="7" max="7" width="9.7265625" style="14" customWidth="1"/>
    <col min="8" max="10" width="8.7265625" style="16" customWidth="1"/>
    <col min="11" max="16" width="9.26953125" style="16" customWidth="1"/>
    <col min="17" max="17" width="8.7265625" style="16" customWidth="1"/>
    <col min="18" max="22" width="8.7265625" style="14" customWidth="1"/>
    <col min="23" max="23" width="4.08984375" style="14" customWidth="1"/>
    <col min="24" max="24" width="9.36328125" style="17" customWidth="1"/>
    <col min="25" max="16384" width="9" style="14"/>
  </cols>
  <sheetData>
    <row r="1" spans="1:24" s="12" customFormat="1" ht="27.5" x14ac:dyDescent="0.25">
      <c r="A1" s="12" t="s">
        <v>0</v>
      </c>
      <c r="B1" s="103" t="s">
        <v>83</v>
      </c>
      <c r="C1" s="103"/>
      <c r="D1" s="103"/>
      <c r="E1" s="103"/>
      <c r="F1" s="103"/>
      <c r="G1" s="103"/>
      <c r="H1" s="103"/>
      <c r="I1" s="103"/>
      <c r="J1" s="103"/>
      <c r="K1" s="103"/>
      <c r="L1" s="103"/>
      <c r="M1" s="103"/>
      <c r="N1" s="103"/>
      <c r="O1" s="103"/>
      <c r="P1" s="103"/>
      <c r="Q1" s="103"/>
      <c r="R1" s="103"/>
      <c r="S1" s="103"/>
      <c r="T1" s="103"/>
      <c r="U1" s="103"/>
      <c r="V1" s="103"/>
      <c r="W1" s="12" t="s">
        <v>0</v>
      </c>
      <c r="X1" s="58"/>
    </row>
    <row r="2" spans="1:24" s="12" customFormat="1" ht="25.5" x14ac:dyDescent="0.25">
      <c r="E2" s="18"/>
      <c r="F2" s="18"/>
      <c r="G2" s="19" t="s">
        <v>84</v>
      </c>
      <c r="H2" s="18" t="s">
        <v>85</v>
      </c>
      <c r="I2" s="18"/>
      <c r="J2" s="18"/>
      <c r="K2" s="18"/>
      <c r="L2" s="18"/>
      <c r="M2" s="18"/>
      <c r="N2" s="18"/>
      <c r="O2" s="18"/>
      <c r="P2" s="18"/>
      <c r="Q2" s="18"/>
      <c r="R2" s="18"/>
      <c r="S2" s="18"/>
      <c r="T2" s="18"/>
      <c r="U2" s="18"/>
      <c r="V2" s="18"/>
      <c r="X2" s="58"/>
    </row>
    <row r="3" spans="1:24" s="12" customFormat="1" ht="16.5" customHeight="1" x14ac:dyDescent="0.25">
      <c r="E3" s="18"/>
      <c r="F3" s="18"/>
      <c r="G3" s="19"/>
      <c r="H3" s="18"/>
      <c r="I3" s="18"/>
      <c r="J3" s="18"/>
      <c r="K3" s="18"/>
      <c r="L3" s="18"/>
      <c r="M3" s="18"/>
      <c r="N3" s="18"/>
      <c r="O3" s="18"/>
      <c r="P3" s="18"/>
      <c r="Q3" s="18"/>
      <c r="R3" s="18"/>
      <c r="S3" s="18"/>
      <c r="T3" s="18"/>
      <c r="U3" s="18"/>
      <c r="V3" s="18"/>
      <c r="X3" s="58"/>
    </row>
    <row r="4" spans="1:24" s="12" customFormat="1" ht="35.25" customHeight="1" x14ac:dyDescent="0.25">
      <c r="B4" s="104" t="s">
        <v>86</v>
      </c>
      <c r="C4" s="104"/>
      <c r="D4" s="104"/>
      <c r="E4" s="104"/>
      <c r="F4" s="104"/>
      <c r="I4" s="20" t="s">
        <v>1</v>
      </c>
      <c r="J4" s="47" t="s">
        <v>2</v>
      </c>
      <c r="K4" s="47" t="s">
        <v>87</v>
      </c>
      <c r="L4" s="47" t="s">
        <v>88</v>
      </c>
      <c r="M4" s="47" t="s">
        <v>89</v>
      </c>
      <c r="N4" s="47" t="s">
        <v>90</v>
      </c>
      <c r="O4" s="82"/>
      <c r="P4" s="82"/>
      <c r="Q4" s="18"/>
      <c r="R4" s="106" t="s">
        <v>91</v>
      </c>
      <c r="S4" s="107"/>
      <c r="T4" s="107"/>
      <c r="X4" s="58"/>
    </row>
    <row r="5" spans="1:24" s="12" customFormat="1" ht="25.5" x14ac:dyDescent="0.25">
      <c r="B5" s="21"/>
      <c r="C5" s="22" t="s">
        <v>92</v>
      </c>
      <c r="D5" s="22" t="s">
        <v>77</v>
      </c>
      <c r="E5" s="22" t="s">
        <v>93</v>
      </c>
      <c r="F5" s="22" t="s">
        <v>94</v>
      </c>
      <c r="I5" s="20" t="s">
        <v>95</v>
      </c>
      <c r="J5" s="48">
        <v>136</v>
      </c>
      <c r="K5" s="48">
        <v>60.1</v>
      </c>
      <c r="L5" s="48">
        <v>1443.5</v>
      </c>
      <c r="M5" s="48">
        <v>4033.6</v>
      </c>
      <c r="N5" s="48">
        <v>5673.2</v>
      </c>
      <c r="O5" s="82"/>
      <c r="P5" s="82"/>
      <c r="Q5" s="49"/>
      <c r="R5" s="107"/>
      <c r="S5" s="107"/>
      <c r="T5" s="107"/>
      <c r="X5" s="58"/>
    </row>
    <row r="6" spans="1:24" s="12" customFormat="1" ht="25.5" x14ac:dyDescent="0.25">
      <c r="B6" s="23" t="s">
        <v>96</v>
      </c>
      <c r="C6" s="22">
        <v>250.56</v>
      </c>
      <c r="D6" s="22">
        <v>130.12</v>
      </c>
      <c r="E6" s="24">
        <v>0.2243</v>
      </c>
      <c r="F6" s="24">
        <v>0.2243</v>
      </c>
      <c r="I6" s="20" t="s">
        <v>97</v>
      </c>
      <c r="J6" s="50">
        <f>IFERROR((G12-J5)/J5,0)</f>
        <v>-0.18897058823529403</v>
      </c>
      <c r="K6" s="50">
        <f>IFERROR((H12-K5)/K5,0)</f>
        <v>0.44259567387687165</v>
      </c>
      <c r="L6" s="50">
        <f>IFERROR((I12-L5)/L5,0)</f>
        <v>-0.38753030827848967</v>
      </c>
      <c r="M6" s="50">
        <f>IFERROR((J12-M5)/M5,0)</f>
        <v>-0.16434450614835386</v>
      </c>
      <c r="N6" s="50">
        <f>IFERROR((K12-N5)/N5,0)</f>
        <v>-0.21529295635620102</v>
      </c>
      <c r="O6" s="83"/>
      <c r="P6" s="83"/>
      <c r="Q6" s="49"/>
      <c r="R6" s="107"/>
      <c r="S6" s="107"/>
      <c r="T6" s="107"/>
      <c r="X6" s="58"/>
    </row>
    <row r="7" spans="1:24" s="12" customFormat="1" ht="25.5" x14ac:dyDescent="0.25">
      <c r="B7" s="23" t="s">
        <v>98</v>
      </c>
      <c r="C7" s="22">
        <v>77.16</v>
      </c>
      <c r="D7" s="22">
        <v>43.35</v>
      </c>
      <c r="E7" s="24">
        <v>0.18840000000000001</v>
      </c>
      <c r="F7" s="24">
        <v>0.20100000000000001</v>
      </c>
      <c r="I7" s="20" t="s">
        <v>99</v>
      </c>
      <c r="J7" s="51">
        <f>COUNTIF(G13:G20,"=0")+COUNTIF(G22:G28,"=0")+COUNTIF(G30:G36,"=0")+COUNTIF(G38:G43,"=0")+COUNTIF(G45:G50,"=0")+COUNTIF(G52:G58,"=0")+COUNTIF(G60:G66,"=0")</f>
        <v>3</v>
      </c>
      <c r="K7" s="51">
        <f>COUNTIF(H13:H20,"=0")+COUNTIF(H22:H28,"=0")+COUNTIF(H30:H36,"=0")+COUNTIF(H38:H43,"=0")+COUNTIF(H45:H50,"=0")+COUNTIF(H52:H58,"=0")+COUNTIF(H60:H66,"=0")</f>
        <v>43</v>
      </c>
      <c r="L7" s="51">
        <f>COUNTIF(I13:I20,"=0")+COUNTIF(I22:I28,"=0")+COUNTIF(I30:I36,"=0")+COUNTIF(I38:I43,"=0")+COUNTIF(I45:I50,"=0")+COUNTIF(I52:I58,"=0")+COUNTIF(I60:I66,"=0")</f>
        <v>5</v>
      </c>
      <c r="M7" s="51">
        <f>COUNTIF(J13:J20,"=0")+COUNTIF(J22:J28,"=0")+COUNTIF(J30:J36,"=0")+COUNTIF(J38:J43,"=0")+COUNTIF(J45:J50,"=0")+COUNTIF(J52:J58,"=0")+COUNTIF(J60:J66,"=0")</f>
        <v>12</v>
      </c>
      <c r="N7" s="51">
        <f>COUNTIF(K13:K20,"=0")+COUNTIF(K22:K28,"=0")+COUNTIF(K30:K36,"=0")+COUNTIF(K38:K43,"=0")+COUNTIF(K45:K50,"=0")+COUNTIF(K52:K58,"=0")+COUNTIF(K60:K66,"=0")</f>
        <v>0</v>
      </c>
      <c r="O7" s="84"/>
      <c r="P7" s="84"/>
      <c r="Q7" s="49"/>
      <c r="R7" s="107"/>
      <c r="S7" s="107"/>
      <c r="T7" s="107"/>
      <c r="X7" s="58"/>
    </row>
    <row r="8" spans="1:24" s="12" customFormat="1" ht="25.5" x14ac:dyDescent="0.25">
      <c r="B8" s="23" t="s">
        <v>100</v>
      </c>
      <c r="C8" s="22" t="s">
        <v>101</v>
      </c>
      <c r="D8" s="22" t="s">
        <v>101</v>
      </c>
      <c r="E8" s="22" t="s">
        <v>101</v>
      </c>
      <c r="F8" s="22" t="s">
        <v>101</v>
      </c>
      <c r="I8" s="20" t="s">
        <v>102</v>
      </c>
      <c r="J8" s="52">
        <v>0.67256097560975614</v>
      </c>
      <c r="K8" s="52">
        <v>14.449999999999998</v>
      </c>
      <c r="L8" s="52">
        <v>3.3112359550561803</v>
      </c>
      <c r="M8" s="52">
        <v>8.2413202933985321</v>
      </c>
      <c r="N8" s="52">
        <v>5.2621749408983458</v>
      </c>
      <c r="O8" s="85"/>
      <c r="P8" s="85"/>
      <c r="Q8" s="49"/>
      <c r="R8" s="107"/>
      <c r="S8" s="107"/>
      <c r="T8" s="107"/>
      <c r="X8" s="58"/>
    </row>
    <row r="9" spans="1:24" s="12" customFormat="1" ht="16.5" customHeight="1" x14ac:dyDescent="0.25">
      <c r="B9" s="26"/>
      <c r="C9" s="27"/>
      <c r="D9" s="27"/>
      <c r="E9" s="27"/>
      <c r="F9" s="27"/>
      <c r="G9" s="27"/>
      <c r="H9" s="53"/>
      <c r="I9" s="53"/>
      <c r="J9" s="53"/>
      <c r="K9" s="53"/>
      <c r="L9" s="53"/>
      <c r="M9" s="53"/>
      <c r="N9" s="53"/>
      <c r="O9" s="53"/>
      <c r="P9" s="53"/>
      <c r="Q9" s="53"/>
      <c r="R9" s="27"/>
      <c r="S9" s="27"/>
      <c r="T9" s="27"/>
      <c r="U9" s="27"/>
      <c r="V9" s="49"/>
      <c r="X9" s="58"/>
    </row>
    <row r="10" spans="1:24" s="13" customFormat="1" ht="22" customHeight="1" x14ac:dyDescent="0.25">
      <c r="A10" s="28"/>
      <c r="B10" s="29"/>
      <c r="C10" s="29"/>
      <c r="D10" s="30"/>
      <c r="E10" s="29"/>
      <c r="F10" s="29"/>
      <c r="G10" s="105" t="s">
        <v>103</v>
      </c>
      <c r="H10" s="105"/>
      <c r="I10" s="105"/>
      <c r="J10" s="105"/>
      <c r="K10" s="105"/>
      <c r="L10" s="105" t="s">
        <v>104</v>
      </c>
      <c r="M10" s="105"/>
      <c r="N10" s="105"/>
      <c r="O10" s="105"/>
      <c r="P10" s="105"/>
      <c r="Q10" s="105" t="s">
        <v>105</v>
      </c>
      <c r="R10" s="105"/>
      <c r="S10" s="105"/>
      <c r="T10" s="105"/>
      <c r="U10" s="105"/>
      <c r="V10" s="105"/>
      <c r="W10" s="28"/>
      <c r="X10" s="59"/>
    </row>
    <row r="11" spans="1:24" s="13" customFormat="1" ht="38.25" customHeight="1" x14ac:dyDescent="0.25">
      <c r="A11" s="31"/>
      <c r="B11" s="32" t="s">
        <v>3</v>
      </c>
      <c r="C11" s="32" t="s">
        <v>4</v>
      </c>
      <c r="D11" s="33" t="s">
        <v>5</v>
      </c>
      <c r="E11" s="32" t="s">
        <v>106</v>
      </c>
      <c r="F11" s="34" t="s">
        <v>107</v>
      </c>
      <c r="G11" s="32" t="s">
        <v>2</v>
      </c>
      <c r="H11" s="32" t="s">
        <v>87</v>
      </c>
      <c r="I11" s="32" t="s">
        <v>88</v>
      </c>
      <c r="J11" s="32" t="s">
        <v>89</v>
      </c>
      <c r="K11" s="34" t="s">
        <v>108</v>
      </c>
      <c r="L11" s="32" t="s">
        <v>2</v>
      </c>
      <c r="M11" s="32" t="s">
        <v>87</v>
      </c>
      <c r="N11" s="32" t="s">
        <v>88</v>
      </c>
      <c r="O11" s="32" t="s">
        <v>89</v>
      </c>
      <c r="P11" s="34" t="s">
        <v>108</v>
      </c>
      <c r="Q11" s="32" t="s">
        <v>2</v>
      </c>
      <c r="R11" s="32" t="s">
        <v>87</v>
      </c>
      <c r="S11" s="32" t="s">
        <v>88</v>
      </c>
      <c r="T11" s="32" t="s">
        <v>89</v>
      </c>
      <c r="U11" s="32" t="s">
        <v>109</v>
      </c>
      <c r="V11" s="32" t="s">
        <v>108</v>
      </c>
      <c r="W11" s="31"/>
      <c r="X11" s="59" t="s">
        <v>110</v>
      </c>
    </row>
    <row r="12" spans="1:24" s="13" customFormat="1" ht="29.25" customHeight="1" x14ac:dyDescent="0.25">
      <c r="A12" s="31"/>
      <c r="B12" s="81" t="s">
        <v>6</v>
      </c>
      <c r="C12" s="81" t="s">
        <v>6</v>
      </c>
      <c r="D12" s="36">
        <f>D21+D29+D37+D44+D51+D59+D67</f>
        <v>23429.454477690513</v>
      </c>
      <c r="E12" s="36">
        <f>E21+E29+E37+E44+E51+E59+E67</f>
        <v>38758.399999999994</v>
      </c>
      <c r="F12" s="38">
        <f>E12/D12</f>
        <v>1.6542596003208558</v>
      </c>
      <c r="G12" s="36">
        <f t="shared" ref="G12:U12" si="0">G21+G29+G37+G44+G51+G59+G67</f>
        <v>110.30000000000001</v>
      </c>
      <c r="H12" s="36">
        <f t="shared" si="0"/>
        <v>86.699999999999989</v>
      </c>
      <c r="I12" s="36">
        <f t="shared" si="0"/>
        <v>884.10000000000014</v>
      </c>
      <c r="J12" s="36">
        <f t="shared" si="0"/>
        <v>3370.7</v>
      </c>
      <c r="K12" s="55">
        <f t="shared" si="0"/>
        <v>4451.8</v>
      </c>
      <c r="L12" s="36">
        <f t="shared" si="0"/>
        <v>533.06459016393444</v>
      </c>
      <c r="M12" s="36">
        <f t="shared" si="0"/>
        <v>361.87803278688449</v>
      </c>
      <c r="N12" s="36">
        <f t="shared" si="0"/>
        <v>6681.3</v>
      </c>
      <c r="O12" s="36">
        <f t="shared" si="0"/>
        <v>17987.5</v>
      </c>
      <c r="P12" s="55">
        <f t="shared" si="0"/>
        <v>25563.74262295082</v>
      </c>
      <c r="Q12" s="36">
        <f t="shared" si="0"/>
        <v>1924</v>
      </c>
      <c r="R12" s="36">
        <f t="shared" si="0"/>
        <v>1521.8999999999999</v>
      </c>
      <c r="S12" s="36">
        <f t="shared" si="0"/>
        <v>11068.2</v>
      </c>
      <c r="T12" s="36">
        <f t="shared" si="0"/>
        <v>21966.5</v>
      </c>
      <c r="U12" s="36">
        <f t="shared" si="0"/>
        <v>2277.8000000000002</v>
      </c>
      <c r="V12" s="36">
        <f>Q12+R12+S12+T12+U12</f>
        <v>38758.400000000001</v>
      </c>
      <c r="W12" s="31"/>
      <c r="X12" s="17" t="s">
        <v>111</v>
      </c>
    </row>
    <row r="13" spans="1:24" ht="22" customHeight="1" x14ac:dyDescent="0.25">
      <c r="A13" s="15"/>
      <c r="B13" s="39" t="s">
        <v>7</v>
      </c>
      <c r="C13" s="39" t="s">
        <v>55</v>
      </c>
      <c r="D13" s="40">
        <v>268.26367784282002</v>
      </c>
      <c r="E13" s="40">
        <f t="shared" ref="E13:E20" si="1">SUM(Q13:U13)</f>
        <v>606.99999999999989</v>
      </c>
      <c r="F13" s="42">
        <f t="shared" ref="F13:F67" si="2">E13/D13</f>
        <v>2.2626991655413407</v>
      </c>
      <c r="G13" s="40">
        <v>-0.2</v>
      </c>
      <c r="H13" s="40">
        <v>0</v>
      </c>
      <c r="I13" s="40">
        <v>21.2</v>
      </c>
      <c r="J13" s="40">
        <v>4.3</v>
      </c>
      <c r="K13" s="56">
        <f>SUM(G13:J13)</f>
        <v>25.3</v>
      </c>
      <c r="L13" s="40">
        <v>5.9819672131148014</v>
      </c>
      <c r="M13" s="40">
        <v>8.0655737704899977E-2</v>
      </c>
      <c r="N13" s="40">
        <v>183.2</v>
      </c>
      <c r="O13" s="40">
        <v>181.29999999999998</v>
      </c>
      <c r="P13" s="56">
        <f>SUM(L13:O13)</f>
        <v>370.56262295081967</v>
      </c>
      <c r="Q13" s="40">
        <v>19.3</v>
      </c>
      <c r="R13" s="40">
        <v>11.7</v>
      </c>
      <c r="S13" s="40">
        <v>367.4</v>
      </c>
      <c r="T13" s="40">
        <v>195.2</v>
      </c>
      <c r="U13" s="40">
        <v>13.4</v>
      </c>
      <c r="V13" s="40">
        <f t="shared" ref="V13:V67" si="3">Q13+R13+S13+T13+U13</f>
        <v>606.99999999999989</v>
      </c>
      <c r="W13" s="15"/>
      <c r="X13" s="17" t="s">
        <v>112</v>
      </c>
    </row>
    <row r="14" spans="1:24" ht="22" customHeight="1" x14ac:dyDescent="0.25">
      <c r="A14" s="15"/>
      <c r="B14" s="39" t="s">
        <v>7</v>
      </c>
      <c r="C14" s="39" t="s">
        <v>58</v>
      </c>
      <c r="D14" s="40">
        <v>539.00697040390696</v>
      </c>
      <c r="E14" s="40">
        <f t="shared" si="1"/>
        <v>1163.3000000000002</v>
      </c>
      <c r="F14" s="42">
        <f t="shared" si="2"/>
        <v>2.1582281192547041</v>
      </c>
      <c r="G14" s="40">
        <v>0.3</v>
      </c>
      <c r="H14" s="40">
        <v>0</v>
      </c>
      <c r="I14" s="40">
        <v>3.19999999999999</v>
      </c>
      <c r="J14" s="40">
        <v>124.9</v>
      </c>
      <c r="K14" s="56">
        <f t="shared" ref="K14:K20" si="4">SUM(G14:J14)</f>
        <v>128.4</v>
      </c>
      <c r="L14" s="40" t="s">
        <v>113</v>
      </c>
      <c r="M14" s="40">
        <v>0.34852459016390469</v>
      </c>
      <c r="N14" s="40">
        <v>116.8</v>
      </c>
      <c r="O14" s="40">
        <v>773.5</v>
      </c>
      <c r="P14" s="56">
        <f t="shared" ref="P14:P66" si="5">SUM(L14:O14)</f>
        <v>890.6485245901639</v>
      </c>
      <c r="Q14" s="40">
        <v>26.7</v>
      </c>
      <c r="R14" s="40">
        <v>59.2</v>
      </c>
      <c r="S14" s="40">
        <v>132</v>
      </c>
      <c r="T14" s="40">
        <v>826</v>
      </c>
      <c r="U14" s="40">
        <v>119.4</v>
      </c>
      <c r="V14" s="40">
        <f t="shared" si="3"/>
        <v>1163.3000000000002</v>
      </c>
      <c r="W14" s="15"/>
      <c r="X14" s="17" t="s">
        <v>114</v>
      </c>
    </row>
    <row r="15" spans="1:24" ht="22" customHeight="1" x14ac:dyDescent="0.25">
      <c r="A15" s="15"/>
      <c r="B15" s="39" t="s">
        <v>7</v>
      </c>
      <c r="C15" s="39" t="s">
        <v>8</v>
      </c>
      <c r="D15" s="40">
        <v>434.31848497211303</v>
      </c>
      <c r="E15" s="40">
        <f t="shared" si="1"/>
        <v>1154.8000000000002</v>
      </c>
      <c r="F15" s="42">
        <f t="shared" si="2"/>
        <v>2.6588783115555126</v>
      </c>
      <c r="G15" s="40">
        <v>0.8</v>
      </c>
      <c r="H15" s="40">
        <v>0</v>
      </c>
      <c r="I15" s="40">
        <v>6.5</v>
      </c>
      <c r="J15" s="40">
        <v>106.5</v>
      </c>
      <c r="K15" s="56">
        <f t="shared" si="4"/>
        <v>113.8</v>
      </c>
      <c r="L15" s="40">
        <v>-2.9344262295082046</v>
      </c>
      <c r="M15" s="40">
        <v>1.5895081967212974</v>
      </c>
      <c r="N15" s="40">
        <v>6.5999999999999943</v>
      </c>
      <c r="O15" s="40">
        <v>606.70000000000005</v>
      </c>
      <c r="P15" s="56">
        <f t="shared" si="5"/>
        <v>611.95508196721312</v>
      </c>
      <c r="Q15" s="40">
        <v>69.3</v>
      </c>
      <c r="R15" s="40">
        <v>57</v>
      </c>
      <c r="S15" s="40">
        <v>151.9</v>
      </c>
      <c r="T15" s="40">
        <v>864.2</v>
      </c>
      <c r="U15" s="40">
        <v>12.4</v>
      </c>
      <c r="V15" s="40">
        <f t="shared" si="3"/>
        <v>1154.8000000000002</v>
      </c>
      <c r="W15" s="15"/>
      <c r="X15" s="62"/>
    </row>
    <row r="16" spans="1:24" ht="22" customHeight="1" x14ac:dyDescent="0.25">
      <c r="A16" s="15"/>
      <c r="B16" s="39" t="s">
        <v>7</v>
      </c>
      <c r="C16" s="39" t="s">
        <v>40</v>
      </c>
      <c r="D16" s="40">
        <v>528.77494401167701</v>
      </c>
      <c r="E16" s="40">
        <f t="shared" si="1"/>
        <v>1089.9000000000001</v>
      </c>
      <c r="F16" s="42">
        <f t="shared" si="2"/>
        <v>2.0611793587101808</v>
      </c>
      <c r="G16" s="40">
        <v>0.4</v>
      </c>
      <c r="H16" s="40">
        <v>0</v>
      </c>
      <c r="I16" s="40">
        <v>7.2</v>
      </c>
      <c r="J16" s="40">
        <v>245.5</v>
      </c>
      <c r="K16" s="56">
        <f t="shared" si="4"/>
        <v>253.1</v>
      </c>
      <c r="L16" s="40">
        <v>6.1895081967212988</v>
      </c>
      <c r="M16" s="40">
        <v>5.3442622950819807E-2</v>
      </c>
      <c r="N16" s="40">
        <v>23.8</v>
      </c>
      <c r="O16" s="40">
        <v>885.69999999999993</v>
      </c>
      <c r="P16" s="56">
        <f t="shared" si="5"/>
        <v>915.74295081967205</v>
      </c>
      <c r="Q16" s="40">
        <v>43.5</v>
      </c>
      <c r="R16" s="40">
        <v>2.2999999999999998</v>
      </c>
      <c r="S16" s="40">
        <v>51</v>
      </c>
      <c r="T16" s="40">
        <v>942.9</v>
      </c>
      <c r="U16" s="40">
        <v>50.2</v>
      </c>
      <c r="V16" s="40">
        <f t="shared" si="3"/>
        <v>1089.9000000000001</v>
      </c>
      <c r="W16" s="15"/>
    </row>
    <row r="17" spans="1:23" ht="22" customHeight="1" x14ac:dyDescent="0.25">
      <c r="A17" s="15"/>
      <c r="B17" s="39" t="s">
        <v>7</v>
      </c>
      <c r="C17" s="39" t="s">
        <v>11</v>
      </c>
      <c r="D17" s="40">
        <v>589.39060725433706</v>
      </c>
      <c r="E17" s="40">
        <f t="shared" si="1"/>
        <v>409.00000000000006</v>
      </c>
      <c r="F17" s="42">
        <f t="shared" si="2"/>
        <v>0.69393708512817565</v>
      </c>
      <c r="G17" s="40">
        <v>0.6</v>
      </c>
      <c r="H17" s="40">
        <v>0</v>
      </c>
      <c r="I17" s="40">
        <v>2.1</v>
      </c>
      <c r="J17" s="40">
        <v>117.8</v>
      </c>
      <c r="K17" s="56">
        <f t="shared" si="4"/>
        <v>120.5</v>
      </c>
      <c r="L17" s="40">
        <v>14.392131147540979</v>
      </c>
      <c r="M17" s="40">
        <v>0</v>
      </c>
      <c r="N17" s="40">
        <v>13.799999999999997</v>
      </c>
      <c r="O17" s="40">
        <v>332.90000000000003</v>
      </c>
      <c r="P17" s="56">
        <f t="shared" si="5"/>
        <v>361.09213114754101</v>
      </c>
      <c r="Q17" s="40">
        <v>16.899999999999999</v>
      </c>
      <c r="R17" s="40">
        <v>0</v>
      </c>
      <c r="S17" s="40">
        <v>32.4</v>
      </c>
      <c r="T17" s="40">
        <v>352.6</v>
      </c>
      <c r="U17" s="40">
        <v>7.1</v>
      </c>
      <c r="V17" s="40">
        <f t="shared" si="3"/>
        <v>409.00000000000006</v>
      </c>
      <c r="W17" s="15"/>
    </row>
    <row r="18" spans="1:23" ht="22" customHeight="1" x14ac:dyDescent="0.25">
      <c r="A18" s="15"/>
      <c r="B18" s="39" t="s">
        <v>7</v>
      </c>
      <c r="C18" s="39" t="s">
        <v>80</v>
      </c>
      <c r="D18" s="40">
        <v>124.37451469561501</v>
      </c>
      <c r="E18" s="40">
        <f t="shared" si="1"/>
        <v>243.39999999999998</v>
      </c>
      <c r="F18" s="42">
        <f t="shared" si="2"/>
        <v>1.9569925607000691</v>
      </c>
      <c r="G18" s="40">
        <v>0</v>
      </c>
      <c r="H18" s="40">
        <v>0</v>
      </c>
      <c r="I18" s="40">
        <v>25.8</v>
      </c>
      <c r="J18" s="40">
        <v>1.5</v>
      </c>
      <c r="K18" s="56">
        <f t="shared" si="4"/>
        <v>27.3</v>
      </c>
      <c r="L18" s="40">
        <v>3.1567213114754011</v>
      </c>
      <c r="M18" s="40">
        <v>57</v>
      </c>
      <c r="N18" s="40">
        <v>80.900000000000006</v>
      </c>
      <c r="O18" s="40">
        <v>53.1</v>
      </c>
      <c r="P18" s="56">
        <f t="shared" si="5"/>
        <v>194.15672131147539</v>
      </c>
      <c r="Q18" s="40">
        <v>18.3</v>
      </c>
      <c r="R18" s="40">
        <v>57</v>
      </c>
      <c r="S18" s="40">
        <v>99.8</v>
      </c>
      <c r="T18" s="40">
        <v>53.1</v>
      </c>
      <c r="U18" s="40">
        <v>15.2</v>
      </c>
      <c r="V18" s="40">
        <f t="shared" si="3"/>
        <v>243.39999999999998</v>
      </c>
      <c r="W18" s="15"/>
    </row>
    <row r="19" spans="1:23" ht="22" customHeight="1" x14ac:dyDescent="0.25">
      <c r="A19" s="15"/>
      <c r="B19" s="39" t="s">
        <v>7</v>
      </c>
      <c r="C19" s="39" t="s">
        <v>81</v>
      </c>
      <c r="D19" s="40">
        <v>656.07333218972201</v>
      </c>
      <c r="E19" s="40">
        <f t="shared" si="1"/>
        <v>326.39999999999998</v>
      </c>
      <c r="F19" s="42">
        <f t="shared" si="2"/>
        <v>0.49750536104036042</v>
      </c>
      <c r="G19" s="40">
        <v>4.7</v>
      </c>
      <c r="H19" s="40">
        <v>0</v>
      </c>
      <c r="I19" s="40">
        <v>0</v>
      </c>
      <c r="J19" s="40">
        <v>0</v>
      </c>
      <c r="K19" s="56">
        <f t="shared" si="4"/>
        <v>4.7</v>
      </c>
      <c r="L19" s="40" t="s">
        <v>113</v>
      </c>
      <c r="M19" s="40">
        <v>0.62393442622949635</v>
      </c>
      <c r="N19" s="40">
        <v>24.699999999999996</v>
      </c>
      <c r="O19" s="40">
        <v>125.4</v>
      </c>
      <c r="P19" s="56">
        <f t="shared" si="5"/>
        <v>150.7239344262295</v>
      </c>
      <c r="Q19" s="40">
        <v>32</v>
      </c>
      <c r="R19" s="40">
        <v>85.2</v>
      </c>
      <c r="S19" s="40">
        <v>63.3</v>
      </c>
      <c r="T19" s="40">
        <v>125.4</v>
      </c>
      <c r="U19" s="40">
        <v>20.5</v>
      </c>
      <c r="V19" s="40">
        <f t="shared" si="3"/>
        <v>326.39999999999998</v>
      </c>
      <c r="W19" s="15"/>
    </row>
    <row r="20" spans="1:23" ht="22" customHeight="1" x14ac:dyDescent="0.25">
      <c r="A20" s="15"/>
      <c r="B20" s="39" t="s">
        <v>7</v>
      </c>
      <c r="C20" s="39" t="s">
        <v>61</v>
      </c>
      <c r="D20" s="40">
        <v>200.602794056959</v>
      </c>
      <c r="E20" s="40">
        <f t="shared" si="1"/>
        <v>30.9</v>
      </c>
      <c r="F20" s="42">
        <f t="shared" si="2"/>
        <v>0.15403574085426885</v>
      </c>
      <c r="G20" s="40">
        <v>4.9000000000000004</v>
      </c>
      <c r="H20" s="40">
        <v>0</v>
      </c>
      <c r="I20" s="40">
        <v>0</v>
      </c>
      <c r="J20" s="40">
        <v>0</v>
      </c>
      <c r="K20" s="56">
        <f t="shared" si="4"/>
        <v>4.9000000000000004</v>
      </c>
      <c r="L20" s="40">
        <v>6.472459016393441</v>
      </c>
      <c r="M20" s="40">
        <v>0</v>
      </c>
      <c r="N20" s="40">
        <v>1.9</v>
      </c>
      <c r="O20" s="40">
        <v>0</v>
      </c>
      <c r="P20" s="56">
        <f t="shared" si="5"/>
        <v>8.3724590163934405</v>
      </c>
      <c r="Q20" s="40">
        <v>11.8</v>
      </c>
      <c r="R20" s="40">
        <v>0</v>
      </c>
      <c r="S20" s="40">
        <v>1.9</v>
      </c>
      <c r="T20" s="40">
        <v>0</v>
      </c>
      <c r="U20" s="40">
        <v>17.2</v>
      </c>
      <c r="V20" s="40">
        <f t="shared" si="3"/>
        <v>30.9</v>
      </c>
      <c r="W20" s="15"/>
    </row>
    <row r="21" spans="1:23" ht="22" customHeight="1" x14ac:dyDescent="0.25">
      <c r="A21" s="15"/>
      <c r="B21" s="43" t="s">
        <v>7</v>
      </c>
      <c r="C21" s="43" t="s">
        <v>7</v>
      </c>
      <c r="D21" s="44">
        <f>SUM(D13:D20)</f>
        <v>3340.8053254271495</v>
      </c>
      <c r="E21" s="44">
        <f>SUM(E13:E20)</f>
        <v>5024.7</v>
      </c>
      <c r="F21" s="46">
        <f t="shared" si="2"/>
        <v>1.5040385507519958</v>
      </c>
      <c r="G21" s="44">
        <f t="shared" ref="G21:U21" si="6">SUM(G13:G20)</f>
        <v>11.5</v>
      </c>
      <c r="H21" s="44">
        <f t="shared" si="6"/>
        <v>0</v>
      </c>
      <c r="I21" s="44">
        <f t="shared" si="6"/>
        <v>65.999999999999986</v>
      </c>
      <c r="J21" s="44">
        <f t="shared" si="6"/>
        <v>600.5</v>
      </c>
      <c r="K21" s="57">
        <f t="shared" si="6"/>
        <v>678</v>
      </c>
      <c r="L21" s="44">
        <f t="shared" si="6"/>
        <v>33.258360655737718</v>
      </c>
      <c r="M21" s="44">
        <f t="shared" si="6"/>
        <v>59.696065573770419</v>
      </c>
      <c r="N21" s="44">
        <f t="shared" si="6"/>
        <v>451.7</v>
      </c>
      <c r="O21" s="44">
        <f t="shared" si="6"/>
        <v>2958.6</v>
      </c>
      <c r="P21" s="57">
        <f t="shared" si="6"/>
        <v>3503.2544262295078</v>
      </c>
      <c r="Q21" s="44">
        <f t="shared" si="6"/>
        <v>237.80000000000004</v>
      </c>
      <c r="R21" s="44">
        <f t="shared" si="6"/>
        <v>272.40000000000003</v>
      </c>
      <c r="S21" s="44">
        <f t="shared" si="6"/>
        <v>899.69999999999982</v>
      </c>
      <c r="T21" s="44">
        <f t="shared" si="6"/>
        <v>3359.4</v>
      </c>
      <c r="U21" s="44">
        <f t="shared" si="6"/>
        <v>255.4</v>
      </c>
      <c r="V21" s="44">
        <f t="shared" si="3"/>
        <v>5024.7</v>
      </c>
      <c r="W21" s="15"/>
    </row>
    <row r="22" spans="1:23" ht="22" customHeight="1" x14ac:dyDescent="0.25">
      <c r="A22" s="15"/>
      <c r="B22" s="39" t="s">
        <v>15</v>
      </c>
      <c r="C22" s="39" t="s">
        <v>48</v>
      </c>
      <c r="D22" s="40">
        <v>413.96099696837501</v>
      </c>
      <c r="E22" s="40">
        <f t="shared" ref="E22:E28" si="7">SUM(Q22:U22)</f>
        <v>1080.5</v>
      </c>
      <c r="F22" s="42">
        <f t="shared" si="2"/>
        <v>2.6101492843842626</v>
      </c>
      <c r="G22" s="40">
        <v>3.5</v>
      </c>
      <c r="H22" s="40">
        <v>0</v>
      </c>
      <c r="I22" s="40">
        <v>2.7000000000000202</v>
      </c>
      <c r="J22" s="40">
        <v>52.7</v>
      </c>
      <c r="K22" s="56">
        <f t="shared" ref="K22:K28" si="8">SUM(G22:J22)</f>
        <v>58.90000000000002</v>
      </c>
      <c r="L22" s="40">
        <v>-1.2393442622951021</v>
      </c>
      <c r="M22" s="40">
        <v>6.4924590163933971</v>
      </c>
      <c r="N22" s="40">
        <v>36.800000000000011</v>
      </c>
      <c r="O22" s="40">
        <v>325.69999999999993</v>
      </c>
      <c r="P22" s="56">
        <f t="shared" si="5"/>
        <v>367.75311475409825</v>
      </c>
      <c r="Q22" s="40">
        <v>26.4</v>
      </c>
      <c r="R22" s="40">
        <v>60.4</v>
      </c>
      <c r="S22" s="40">
        <v>191.3</v>
      </c>
      <c r="T22" s="40">
        <v>514.79999999999995</v>
      </c>
      <c r="U22" s="40">
        <v>287.60000000000002</v>
      </c>
      <c r="V22" s="40">
        <f t="shared" si="3"/>
        <v>1080.5</v>
      </c>
      <c r="W22" s="15"/>
    </row>
    <row r="23" spans="1:23" ht="22" customHeight="1" x14ac:dyDescent="0.25">
      <c r="A23" s="15"/>
      <c r="B23" s="39" t="s">
        <v>15</v>
      </c>
      <c r="C23" s="39" t="s">
        <v>16</v>
      </c>
      <c r="D23" s="40">
        <v>821.08328315190602</v>
      </c>
      <c r="E23" s="40">
        <f t="shared" si="7"/>
        <v>2980</v>
      </c>
      <c r="F23" s="42">
        <f t="shared" si="2"/>
        <v>3.629351688370301</v>
      </c>
      <c r="G23" s="40">
        <v>6.1</v>
      </c>
      <c r="H23" s="40">
        <v>0</v>
      </c>
      <c r="I23" s="40">
        <v>1</v>
      </c>
      <c r="J23" s="40">
        <v>14.2</v>
      </c>
      <c r="K23" s="56">
        <f t="shared" si="8"/>
        <v>21.299999999999997</v>
      </c>
      <c r="L23" s="40" t="s">
        <v>113</v>
      </c>
      <c r="M23" s="40">
        <v>7.8278688524589768</v>
      </c>
      <c r="N23" s="40">
        <v>-20.5</v>
      </c>
      <c r="O23" s="40">
        <v>1408.6000000000001</v>
      </c>
      <c r="P23" s="56">
        <f t="shared" si="5"/>
        <v>1395.9278688524591</v>
      </c>
      <c r="Q23" s="40">
        <v>19.3</v>
      </c>
      <c r="R23" s="40">
        <v>150.69999999999999</v>
      </c>
      <c r="S23" s="40">
        <v>444.1</v>
      </c>
      <c r="T23" s="40">
        <v>2275.9</v>
      </c>
      <c r="U23" s="40">
        <v>90</v>
      </c>
      <c r="V23" s="40">
        <f t="shared" si="3"/>
        <v>2980</v>
      </c>
      <c r="W23" s="15"/>
    </row>
    <row r="24" spans="1:23" ht="22" customHeight="1" x14ac:dyDescent="0.25">
      <c r="A24" s="15"/>
      <c r="B24" s="39" t="s">
        <v>15</v>
      </c>
      <c r="C24" s="39" t="s">
        <v>50</v>
      </c>
      <c r="D24" s="40">
        <v>354.72183766598198</v>
      </c>
      <c r="E24" s="40">
        <f t="shared" si="7"/>
        <v>667.30000000000007</v>
      </c>
      <c r="F24" s="42">
        <f t="shared" si="2"/>
        <v>1.8811923291521517</v>
      </c>
      <c r="G24" s="40">
        <v>0.4</v>
      </c>
      <c r="H24" s="40">
        <v>4.8</v>
      </c>
      <c r="I24" s="40">
        <v>5.8</v>
      </c>
      <c r="J24" s="40">
        <v>64.3</v>
      </c>
      <c r="K24" s="56">
        <f t="shared" si="8"/>
        <v>75.3</v>
      </c>
      <c r="L24" s="40">
        <v>5.4150819672130979</v>
      </c>
      <c r="M24" s="40">
        <v>4.8786885245901592</v>
      </c>
      <c r="N24" s="40">
        <v>87.199999999999989</v>
      </c>
      <c r="O24" s="40">
        <v>475.7</v>
      </c>
      <c r="P24" s="56">
        <f t="shared" si="5"/>
        <v>573.19377049180321</v>
      </c>
      <c r="Q24" s="40">
        <v>48.5</v>
      </c>
      <c r="R24" s="40">
        <v>8.6999999999999993</v>
      </c>
      <c r="S24" s="40">
        <v>126.8</v>
      </c>
      <c r="T24" s="40">
        <v>475.7</v>
      </c>
      <c r="U24" s="40">
        <v>7.6</v>
      </c>
      <c r="V24" s="40">
        <f t="shared" si="3"/>
        <v>667.30000000000007</v>
      </c>
      <c r="W24" s="15"/>
    </row>
    <row r="25" spans="1:23" ht="22" customHeight="1" x14ac:dyDescent="0.25">
      <c r="A25" s="15"/>
      <c r="B25" s="39" t="s">
        <v>15</v>
      </c>
      <c r="C25" s="39" t="s">
        <v>63</v>
      </c>
      <c r="D25" s="40">
        <v>232.60300580997301</v>
      </c>
      <c r="E25" s="40">
        <f t="shared" si="7"/>
        <v>41.4</v>
      </c>
      <c r="F25" s="42">
        <f t="shared" si="2"/>
        <v>0.17798566211918207</v>
      </c>
      <c r="G25" s="40">
        <v>0.5</v>
      </c>
      <c r="H25" s="40">
        <v>0</v>
      </c>
      <c r="I25" s="40">
        <v>0</v>
      </c>
      <c r="J25" s="40">
        <v>0</v>
      </c>
      <c r="K25" s="56">
        <f t="shared" si="8"/>
        <v>0.5</v>
      </c>
      <c r="L25" s="40">
        <v>17.621967213114797</v>
      </c>
      <c r="M25" s="40">
        <v>8.5245901639301458E-3</v>
      </c>
      <c r="N25" s="40">
        <v>-2</v>
      </c>
      <c r="O25" s="40">
        <v>0</v>
      </c>
      <c r="P25" s="56">
        <f t="shared" si="5"/>
        <v>15.630491803278726</v>
      </c>
      <c r="Q25" s="40">
        <v>36.799999999999997</v>
      </c>
      <c r="R25" s="40">
        <v>1.1000000000000001</v>
      </c>
      <c r="S25" s="40">
        <v>0</v>
      </c>
      <c r="T25" s="40">
        <v>0</v>
      </c>
      <c r="U25" s="40">
        <v>3.5</v>
      </c>
      <c r="V25" s="40">
        <f t="shared" si="3"/>
        <v>41.4</v>
      </c>
      <c r="W25" s="15"/>
    </row>
    <row r="26" spans="1:23" ht="22" customHeight="1" x14ac:dyDescent="0.25">
      <c r="A26" s="15"/>
      <c r="B26" s="39" t="s">
        <v>15</v>
      </c>
      <c r="C26" s="39" t="s">
        <v>62</v>
      </c>
      <c r="D26" s="40">
        <v>438.68021338324297</v>
      </c>
      <c r="E26" s="40">
        <f t="shared" si="7"/>
        <v>851.3</v>
      </c>
      <c r="F26" s="42">
        <f t="shared" si="2"/>
        <v>1.940593566859331</v>
      </c>
      <c r="G26" s="40">
        <v>12.2</v>
      </c>
      <c r="H26" s="40">
        <v>0</v>
      </c>
      <c r="I26" s="40">
        <v>6.6999999999999904</v>
      </c>
      <c r="J26" s="40">
        <v>69.099999999999994</v>
      </c>
      <c r="K26" s="56">
        <f t="shared" si="8"/>
        <v>87.999999999999986</v>
      </c>
      <c r="L26" s="40">
        <v>26.610163934426197</v>
      </c>
      <c r="M26" s="40">
        <v>65.095737704918008</v>
      </c>
      <c r="N26" s="40">
        <v>170.2</v>
      </c>
      <c r="O26" s="40">
        <v>214.59999999999997</v>
      </c>
      <c r="P26" s="56">
        <f t="shared" si="5"/>
        <v>476.50590163934413</v>
      </c>
      <c r="Q26" s="40">
        <v>93.5</v>
      </c>
      <c r="R26" s="40">
        <v>224.6</v>
      </c>
      <c r="S26" s="40">
        <v>194.7</v>
      </c>
      <c r="T26" s="40">
        <v>305.39999999999998</v>
      </c>
      <c r="U26" s="40">
        <v>33.1</v>
      </c>
      <c r="V26" s="40">
        <f t="shared" si="3"/>
        <v>851.3</v>
      </c>
      <c r="W26" s="15"/>
    </row>
    <row r="27" spans="1:23" ht="22" customHeight="1" x14ac:dyDescent="0.25">
      <c r="A27" s="15"/>
      <c r="B27" s="39" t="s">
        <v>15</v>
      </c>
      <c r="C27" s="39" t="s">
        <v>71</v>
      </c>
      <c r="D27" s="40">
        <v>337.80722229193901</v>
      </c>
      <c r="E27" s="40">
        <f t="shared" si="7"/>
        <v>552.5</v>
      </c>
      <c r="F27" s="42">
        <f t="shared" si="2"/>
        <v>1.6355482166764324</v>
      </c>
      <c r="G27" s="40">
        <v>-0.4</v>
      </c>
      <c r="H27" s="40">
        <v>0</v>
      </c>
      <c r="I27" s="40">
        <v>2</v>
      </c>
      <c r="J27" s="40">
        <v>0</v>
      </c>
      <c r="K27" s="56">
        <f t="shared" si="8"/>
        <v>1.6</v>
      </c>
      <c r="L27" s="40">
        <v>16.365573770491803</v>
      </c>
      <c r="M27" s="40">
        <v>2.0983606557380075E-2</v>
      </c>
      <c r="N27" s="40">
        <v>52.300000000000011</v>
      </c>
      <c r="O27" s="40">
        <v>201.00000000000003</v>
      </c>
      <c r="P27" s="56">
        <f t="shared" si="5"/>
        <v>269.68655737704921</v>
      </c>
      <c r="Q27" s="40">
        <v>35.200000000000003</v>
      </c>
      <c r="R27" s="40">
        <v>3.5</v>
      </c>
      <c r="S27" s="40">
        <v>140.80000000000001</v>
      </c>
      <c r="T27" s="40">
        <v>302.60000000000002</v>
      </c>
      <c r="U27" s="40">
        <v>70.400000000000006</v>
      </c>
      <c r="V27" s="40">
        <f t="shared" si="3"/>
        <v>552.5</v>
      </c>
      <c r="W27" s="15"/>
    </row>
    <row r="28" spans="1:23" ht="22" customHeight="1" x14ac:dyDescent="0.25">
      <c r="A28" s="15"/>
      <c r="B28" s="39" t="s">
        <v>15</v>
      </c>
      <c r="C28" s="39" t="s">
        <v>18</v>
      </c>
      <c r="D28" s="40">
        <v>550.56318164254299</v>
      </c>
      <c r="E28" s="40">
        <f t="shared" si="7"/>
        <v>486.2</v>
      </c>
      <c r="F28" s="42">
        <f t="shared" si="2"/>
        <v>0.88309573943807373</v>
      </c>
      <c r="G28" s="40">
        <v>2.2999999999999998</v>
      </c>
      <c r="H28" s="40">
        <v>0</v>
      </c>
      <c r="I28" s="40">
        <v>4.2</v>
      </c>
      <c r="J28" s="40">
        <v>158.30000000000001</v>
      </c>
      <c r="K28" s="56">
        <f t="shared" si="8"/>
        <v>164.8</v>
      </c>
      <c r="L28" s="40">
        <v>3.3977049180327885</v>
      </c>
      <c r="M28" s="40">
        <v>1.1000000000000001</v>
      </c>
      <c r="N28" s="40">
        <v>33.5</v>
      </c>
      <c r="O28" s="40">
        <v>373.9</v>
      </c>
      <c r="P28" s="56">
        <f t="shared" si="5"/>
        <v>411.89770491803279</v>
      </c>
      <c r="Q28" s="40">
        <v>13.2</v>
      </c>
      <c r="R28" s="40">
        <v>1.1000000000000001</v>
      </c>
      <c r="S28" s="40">
        <v>69</v>
      </c>
      <c r="T28" s="40">
        <v>391.7</v>
      </c>
      <c r="U28" s="40">
        <v>11.2</v>
      </c>
      <c r="V28" s="40">
        <f t="shared" si="3"/>
        <v>486.2</v>
      </c>
      <c r="W28" s="15"/>
    </row>
    <row r="29" spans="1:23" ht="22" customHeight="1" x14ac:dyDescent="0.25">
      <c r="A29" s="15"/>
      <c r="B29" s="43" t="s">
        <v>15</v>
      </c>
      <c r="C29" s="43" t="s">
        <v>15</v>
      </c>
      <c r="D29" s="44">
        <f>SUM(D22:D28)</f>
        <v>3149.4197409139606</v>
      </c>
      <c r="E29" s="44">
        <f>SUM(E22:E28)</f>
        <v>6659.2</v>
      </c>
      <c r="F29" s="46">
        <f t="shared" si="2"/>
        <v>2.1144212419483668</v>
      </c>
      <c r="G29" s="44">
        <f t="shared" ref="G29:U29" si="9">SUM(G22:G28)</f>
        <v>24.6</v>
      </c>
      <c r="H29" s="44">
        <f t="shared" si="9"/>
        <v>4.8</v>
      </c>
      <c r="I29" s="44">
        <f t="shared" si="9"/>
        <v>22.400000000000009</v>
      </c>
      <c r="J29" s="44">
        <f t="shared" si="9"/>
        <v>358.6</v>
      </c>
      <c r="K29" s="57">
        <f t="shared" si="9"/>
        <v>410.4</v>
      </c>
      <c r="L29" s="44">
        <f t="shared" si="9"/>
        <v>68.171147540983583</v>
      </c>
      <c r="M29" s="44">
        <f t="shared" si="9"/>
        <v>85.424262295081846</v>
      </c>
      <c r="N29" s="44">
        <f t="shared" si="9"/>
        <v>357.5</v>
      </c>
      <c r="O29" s="44">
        <f t="shared" si="9"/>
        <v>2999.5</v>
      </c>
      <c r="P29" s="57">
        <f t="shared" si="9"/>
        <v>3510.5954098360653</v>
      </c>
      <c r="Q29" s="44">
        <f t="shared" si="9"/>
        <v>272.89999999999998</v>
      </c>
      <c r="R29" s="44">
        <f t="shared" si="9"/>
        <v>450.1</v>
      </c>
      <c r="S29" s="44">
        <f t="shared" si="9"/>
        <v>1166.7</v>
      </c>
      <c r="T29" s="44">
        <f t="shared" si="9"/>
        <v>4266.0999999999995</v>
      </c>
      <c r="U29" s="44">
        <f t="shared" si="9"/>
        <v>503.40000000000003</v>
      </c>
      <c r="V29" s="44">
        <f t="shared" si="3"/>
        <v>6659.1999999999989</v>
      </c>
      <c r="W29" s="15"/>
    </row>
    <row r="30" spans="1:23" ht="22" customHeight="1" x14ac:dyDescent="0.25">
      <c r="A30" s="15"/>
      <c r="B30" s="39" t="s">
        <v>23</v>
      </c>
      <c r="C30" s="39" t="s">
        <v>25</v>
      </c>
      <c r="D30" s="40">
        <v>198.669860905902</v>
      </c>
      <c r="E30" s="40">
        <f t="shared" ref="E30:E36" si="10">SUM(Q30:U30)</f>
        <v>223.10000000000002</v>
      </c>
      <c r="F30" s="42">
        <f t="shared" si="2"/>
        <v>1.1229685216605105</v>
      </c>
      <c r="G30" s="40">
        <v>2.7</v>
      </c>
      <c r="H30" s="40">
        <v>0.9</v>
      </c>
      <c r="I30" s="40">
        <v>7.3</v>
      </c>
      <c r="J30" s="40">
        <v>48.7</v>
      </c>
      <c r="K30" s="56">
        <f t="shared" ref="K30:K36" si="11">SUM(G30:J30)</f>
        <v>59.6</v>
      </c>
      <c r="L30" s="40">
        <v>27.402622950819705</v>
      </c>
      <c r="M30" s="40">
        <v>0.93180327868852153</v>
      </c>
      <c r="N30" s="40">
        <v>18.899999999999999</v>
      </c>
      <c r="O30" s="40">
        <v>95.1</v>
      </c>
      <c r="P30" s="56">
        <f t="shared" si="5"/>
        <v>142.33442622950821</v>
      </c>
      <c r="Q30" s="40">
        <v>82.2</v>
      </c>
      <c r="R30" s="40">
        <v>10.3</v>
      </c>
      <c r="S30" s="40">
        <v>31.7</v>
      </c>
      <c r="T30" s="40">
        <v>95.1</v>
      </c>
      <c r="U30" s="40">
        <v>3.8</v>
      </c>
      <c r="V30" s="40">
        <f t="shared" si="3"/>
        <v>223.10000000000002</v>
      </c>
      <c r="W30" s="15"/>
    </row>
    <row r="31" spans="1:23" ht="22" customHeight="1" x14ac:dyDescent="0.25">
      <c r="A31" s="15"/>
      <c r="B31" s="39" t="s">
        <v>23</v>
      </c>
      <c r="C31" s="39" t="s">
        <v>65</v>
      </c>
      <c r="D31" s="40">
        <v>486.45071594382699</v>
      </c>
      <c r="E31" s="40">
        <f t="shared" si="10"/>
        <v>791.5</v>
      </c>
      <c r="F31" s="42">
        <f t="shared" si="2"/>
        <v>1.6270918595819246</v>
      </c>
      <c r="G31" s="40">
        <v>6.2</v>
      </c>
      <c r="H31" s="40">
        <v>0</v>
      </c>
      <c r="I31" s="40">
        <v>8.8000000000000007</v>
      </c>
      <c r="J31" s="40">
        <v>21.6</v>
      </c>
      <c r="K31" s="56">
        <f t="shared" si="11"/>
        <v>36.6</v>
      </c>
      <c r="L31" s="40">
        <v>12.012786885245902</v>
      </c>
      <c r="M31" s="40">
        <v>-0.1973770491803295</v>
      </c>
      <c r="N31" s="40">
        <v>42</v>
      </c>
      <c r="O31" s="40">
        <v>506.20000000000005</v>
      </c>
      <c r="P31" s="56">
        <f t="shared" si="5"/>
        <v>560.0154098360656</v>
      </c>
      <c r="Q31" s="40">
        <v>53.1</v>
      </c>
      <c r="R31" s="40">
        <v>4.9000000000000004</v>
      </c>
      <c r="S31" s="40">
        <v>90.2</v>
      </c>
      <c r="T31" s="40">
        <v>621.1</v>
      </c>
      <c r="U31" s="40">
        <v>22.2</v>
      </c>
      <c r="V31" s="40">
        <f t="shared" si="3"/>
        <v>791.5</v>
      </c>
      <c r="W31" s="15"/>
    </row>
    <row r="32" spans="1:23" ht="22" customHeight="1" x14ac:dyDescent="0.25">
      <c r="A32" s="15"/>
      <c r="B32" s="39" t="s">
        <v>23</v>
      </c>
      <c r="C32" s="39" t="s">
        <v>17</v>
      </c>
      <c r="D32" s="40">
        <v>441.06904244265297</v>
      </c>
      <c r="E32" s="40">
        <f t="shared" si="10"/>
        <v>407.2</v>
      </c>
      <c r="F32" s="42">
        <f t="shared" si="2"/>
        <v>0.92321147216525268</v>
      </c>
      <c r="G32" s="40">
        <v>1.7</v>
      </c>
      <c r="H32" s="40">
        <v>0</v>
      </c>
      <c r="I32" s="40">
        <v>29</v>
      </c>
      <c r="J32" s="40">
        <v>49.2</v>
      </c>
      <c r="K32" s="56">
        <f t="shared" si="11"/>
        <v>79.900000000000006</v>
      </c>
      <c r="L32" s="40">
        <v>25.849836065573804</v>
      </c>
      <c r="M32" s="40">
        <v>2.5573770491799985E-2</v>
      </c>
      <c r="N32" s="40">
        <v>136.79999999999998</v>
      </c>
      <c r="O32" s="40">
        <v>169.79999999999998</v>
      </c>
      <c r="P32" s="56">
        <f t="shared" si="5"/>
        <v>332.47540983606558</v>
      </c>
      <c r="Q32" s="40">
        <v>73.2</v>
      </c>
      <c r="R32" s="40">
        <v>1.3</v>
      </c>
      <c r="S32" s="40">
        <v>147.6</v>
      </c>
      <c r="T32" s="40">
        <v>177.6</v>
      </c>
      <c r="U32" s="40">
        <v>7.5</v>
      </c>
      <c r="V32" s="40">
        <f t="shared" si="3"/>
        <v>407.2</v>
      </c>
      <c r="W32" s="15"/>
    </row>
    <row r="33" spans="1:23" ht="22" customHeight="1" x14ac:dyDescent="0.25">
      <c r="A33" s="15"/>
      <c r="B33" s="39" t="s">
        <v>23</v>
      </c>
      <c r="C33" s="39" t="s">
        <v>21</v>
      </c>
      <c r="D33" s="40">
        <v>549.30671445660903</v>
      </c>
      <c r="E33" s="40">
        <f t="shared" si="10"/>
        <v>440.2</v>
      </c>
      <c r="F33" s="42">
        <f t="shared" si="2"/>
        <v>0.80137378337976306</v>
      </c>
      <c r="G33" s="40">
        <v>1.1000000000000001</v>
      </c>
      <c r="H33" s="40">
        <v>0</v>
      </c>
      <c r="I33" s="40">
        <v>112.5</v>
      </c>
      <c r="J33" s="40">
        <v>0</v>
      </c>
      <c r="K33" s="56">
        <f t="shared" si="11"/>
        <v>113.6</v>
      </c>
      <c r="L33" s="40">
        <v>8.5029508196720993</v>
      </c>
      <c r="M33" s="40">
        <v>-0.18327868852460227</v>
      </c>
      <c r="N33" s="40">
        <v>347.5</v>
      </c>
      <c r="O33" s="40">
        <v>0</v>
      </c>
      <c r="P33" s="56">
        <f t="shared" si="5"/>
        <v>355.81967213114751</v>
      </c>
      <c r="Q33" s="40">
        <v>19.7</v>
      </c>
      <c r="R33" s="40">
        <v>38.299999999999997</v>
      </c>
      <c r="S33" s="40">
        <v>377.9</v>
      </c>
      <c r="T33" s="40">
        <v>0</v>
      </c>
      <c r="U33" s="40">
        <v>4.3</v>
      </c>
      <c r="V33" s="40">
        <f t="shared" si="3"/>
        <v>440.2</v>
      </c>
      <c r="W33" s="15"/>
    </row>
    <row r="34" spans="1:23" ht="22" customHeight="1" x14ac:dyDescent="0.25">
      <c r="A34" s="15"/>
      <c r="B34" s="39" t="s">
        <v>23</v>
      </c>
      <c r="C34" s="39" t="s">
        <v>26</v>
      </c>
      <c r="D34" s="40">
        <v>584.47771382636802</v>
      </c>
      <c r="E34" s="40">
        <f t="shared" si="10"/>
        <v>968.2</v>
      </c>
      <c r="F34" s="42">
        <f t="shared" si="2"/>
        <v>1.6565216724202168</v>
      </c>
      <c r="G34" s="40">
        <v>2.9</v>
      </c>
      <c r="H34" s="40">
        <v>0</v>
      </c>
      <c r="I34" s="40">
        <v>10</v>
      </c>
      <c r="J34" s="40">
        <v>0</v>
      </c>
      <c r="K34" s="56">
        <f t="shared" si="11"/>
        <v>12.9</v>
      </c>
      <c r="L34" s="40">
        <v>22.1052459016393</v>
      </c>
      <c r="M34" s="40">
        <v>0.36622950819671996</v>
      </c>
      <c r="N34" s="40">
        <v>515.20000000000005</v>
      </c>
      <c r="O34" s="40">
        <v>37.4</v>
      </c>
      <c r="P34" s="56">
        <f t="shared" si="5"/>
        <v>575.07147540983601</v>
      </c>
      <c r="Q34" s="40">
        <v>79.7</v>
      </c>
      <c r="R34" s="40">
        <v>6.9</v>
      </c>
      <c r="S34" s="40">
        <v>807</v>
      </c>
      <c r="T34" s="40">
        <v>37.4</v>
      </c>
      <c r="U34" s="40">
        <v>37.200000000000003</v>
      </c>
      <c r="V34" s="40">
        <f t="shared" si="3"/>
        <v>968.2</v>
      </c>
      <c r="W34" s="15"/>
    </row>
    <row r="35" spans="1:23" ht="22" customHeight="1" x14ac:dyDescent="0.25">
      <c r="A35" s="15"/>
      <c r="B35" s="39" t="s">
        <v>23</v>
      </c>
      <c r="C35" s="39" t="s">
        <v>57</v>
      </c>
      <c r="D35" s="40">
        <v>392.85379691088201</v>
      </c>
      <c r="E35" s="40">
        <f t="shared" si="10"/>
        <v>648.6</v>
      </c>
      <c r="F35" s="42">
        <f t="shared" si="2"/>
        <v>1.6509958796379749</v>
      </c>
      <c r="G35" s="40">
        <v>8.1999999999999993</v>
      </c>
      <c r="H35" s="40">
        <v>41.8</v>
      </c>
      <c r="I35" s="40">
        <v>3.5</v>
      </c>
      <c r="J35" s="40">
        <v>97.1</v>
      </c>
      <c r="K35" s="56">
        <f t="shared" si="11"/>
        <v>150.6</v>
      </c>
      <c r="L35" s="40">
        <v>17.480983606557402</v>
      </c>
      <c r="M35" s="40">
        <v>41.8</v>
      </c>
      <c r="N35" s="40">
        <v>68.5</v>
      </c>
      <c r="O35" s="40">
        <v>402.3</v>
      </c>
      <c r="P35" s="56">
        <f t="shared" si="5"/>
        <v>530.08098360655742</v>
      </c>
      <c r="Q35" s="40">
        <v>56.6</v>
      </c>
      <c r="R35" s="40">
        <v>41.8</v>
      </c>
      <c r="S35" s="40">
        <v>115</v>
      </c>
      <c r="T35" s="40">
        <v>405.1</v>
      </c>
      <c r="U35" s="40">
        <v>30.1</v>
      </c>
      <c r="V35" s="40">
        <f t="shared" si="3"/>
        <v>648.6</v>
      </c>
      <c r="W35" s="15"/>
    </row>
    <row r="36" spans="1:23" ht="22" customHeight="1" x14ac:dyDescent="0.25">
      <c r="A36" s="15"/>
      <c r="B36" s="39" t="s">
        <v>23</v>
      </c>
      <c r="C36" s="39" t="s">
        <v>24</v>
      </c>
      <c r="D36" s="40">
        <v>907.19337904439396</v>
      </c>
      <c r="E36" s="40">
        <f t="shared" si="10"/>
        <v>2911.6000000000004</v>
      </c>
      <c r="F36" s="42">
        <f t="shared" si="2"/>
        <v>3.2094590494773878</v>
      </c>
      <c r="G36" s="40">
        <v>0.4</v>
      </c>
      <c r="H36" s="40">
        <v>0</v>
      </c>
      <c r="I36" s="40">
        <v>18.8</v>
      </c>
      <c r="J36" s="40">
        <v>6.5</v>
      </c>
      <c r="K36" s="56">
        <f t="shared" si="11"/>
        <v>25.7</v>
      </c>
      <c r="L36" s="40">
        <v>8.5108196721311025</v>
      </c>
      <c r="M36" s="40">
        <v>-1.3114754097998116E-3</v>
      </c>
      <c r="N36" s="40">
        <v>620.5</v>
      </c>
      <c r="O36" s="40">
        <v>824.2</v>
      </c>
      <c r="P36" s="56">
        <f t="shared" si="5"/>
        <v>1453.2095081967213</v>
      </c>
      <c r="Q36" s="40">
        <v>37.6</v>
      </c>
      <c r="R36" s="40">
        <v>18.8</v>
      </c>
      <c r="S36" s="40">
        <v>1406.5</v>
      </c>
      <c r="T36" s="40">
        <v>1435.7</v>
      </c>
      <c r="U36" s="40">
        <v>13</v>
      </c>
      <c r="V36" s="40">
        <f t="shared" si="3"/>
        <v>2911.6000000000004</v>
      </c>
      <c r="W36" s="15"/>
    </row>
    <row r="37" spans="1:23" ht="22" customHeight="1" x14ac:dyDescent="0.25">
      <c r="A37" s="15"/>
      <c r="B37" s="43" t="s">
        <v>23</v>
      </c>
      <c r="C37" s="43" t="s">
        <v>23</v>
      </c>
      <c r="D37" s="44">
        <f>SUM(D30:D36)</f>
        <v>3560.0212235306349</v>
      </c>
      <c r="E37" s="44">
        <f>SUM(E30:E36)</f>
        <v>6390.4</v>
      </c>
      <c r="F37" s="46">
        <f t="shared" si="2"/>
        <v>1.7950454783138483</v>
      </c>
      <c r="G37" s="44">
        <f t="shared" ref="G37:U37" si="12">SUM(G30:G36)</f>
        <v>23.199999999999996</v>
      </c>
      <c r="H37" s="44">
        <f t="shared" si="12"/>
        <v>42.699999999999996</v>
      </c>
      <c r="I37" s="44">
        <f t="shared" si="12"/>
        <v>189.9</v>
      </c>
      <c r="J37" s="44">
        <f t="shared" si="12"/>
        <v>223.10000000000002</v>
      </c>
      <c r="K37" s="57">
        <f t="shared" si="12"/>
        <v>478.90000000000003</v>
      </c>
      <c r="L37" s="44">
        <f t="shared" si="12"/>
        <v>121.86524590163933</v>
      </c>
      <c r="M37" s="44">
        <f t="shared" si="12"/>
        <v>42.74163934426231</v>
      </c>
      <c r="N37" s="44">
        <f t="shared" si="12"/>
        <v>1749.4</v>
      </c>
      <c r="O37" s="44">
        <f t="shared" si="12"/>
        <v>2035</v>
      </c>
      <c r="P37" s="57">
        <f t="shared" si="12"/>
        <v>3949.0068852459017</v>
      </c>
      <c r="Q37" s="44">
        <f t="shared" si="12"/>
        <v>402.1</v>
      </c>
      <c r="R37" s="44">
        <f t="shared" si="12"/>
        <v>122.3</v>
      </c>
      <c r="S37" s="44">
        <f t="shared" si="12"/>
        <v>2975.9</v>
      </c>
      <c r="T37" s="44">
        <f t="shared" si="12"/>
        <v>2772</v>
      </c>
      <c r="U37" s="44">
        <f t="shared" si="12"/>
        <v>118.1</v>
      </c>
      <c r="V37" s="44">
        <f t="shared" si="3"/>
        <v>6390.4000000000005</v>
      </c>
      <c r="W37" s="15"/>
    </row>
    <row r="38" spans="1:23" ht="22" customHeight="1" x14ac:dyDescent="0.25">
      <c r="A38" s="15"/>
      <c r="B38" s="39" t="s">
        <v>31</v>
      </c>
      <c r="C38" s="39" t="s">
        <v>35</v>
      </c>
      <c r="D38" s="40">
        <v>331.276202989642</v>
      </c>
      <c r="E38" s="40">
        <f t="shared" ref="E38:E43" si="13">SUM(Q38:U38)</f>
        <v>1303.3</v>
      </c>
      <c r="F38" s="42">
        <f t="shared" si="2"/>
        <v>3.9341793592120777</v>
      </c>
      <c r="G38" s="40">
        <v>-0.3</v>
      </c>
      <c r="H38" s="40">
        <v>0</v>
      </c>
      <c r="I38" s="40">
        <v>13.9</v>
      </c>
      <c r="J38" s="40">
        <v>246.9</v>
      </c>
      <c r="K38" s="56">
        <f t="shared" ref="K38:K43" si="14">SUM(G38:J38)</f>
        <v>260.5</v>
      </c>
      <c r="L38" s="40">
        <v>3.4514754098360698</v>
      </c>
      <c r="M38" s="40">
        <v>4.1829508196720937</v>
      </c>
      <c r="N38" s="40">
        <v>132</v>
      </c>
      <c r="O38" s="40">
        <v>939.80000000000007</v>
      </c>
      <c r="P38" s="56">
        <f t="shared" si="5"/>
        <v>1079.4344262295083</v>
      </c>
      <c r="Q38" s="40">
        <v>5.6</v>
      </c>
      <c r="R38" s="40">
        <v>41.8</v>
      </c>
      <c r="S38" s="40">
        <v>251.3</v>
      </c>
      <c r="T38" s="40">
        <v>951.6</v>
      </c>
      <c r="U38" s="40">
        <v>53</v>
      </c>
      <c r="V38" s="40">
        <f t="shared" si="3"/>
        <v>1303.3</v>
      </c>
      <c r="W38" s="15"/>
    </row>
    <row r="39" spans="1:23" ht="22" customHeight="1" x14ac:dyDescent="0.25">
      <c r="A39" s="15"/>
      <c r="B39" s="39" t="s">
        <v>31</v>
      </c>
      <c r="C39" s="39" t="s">
        <v>47</v>
      </c>
      <c r="D39" s="40">
        <v>474.198755134728</v>
      </c>
      <c r="E39" s="40">
        <f t="shared" si="13"/>
        <v>731.90000000000009</v>
      </c>
      <c r="F39" s="42">
        <f t="shared" si="2"/>
        <v>1.5434456376673844</v>
      </c>
      <c r="G39" s="40">
        <v>0.8</v>
      </c>
      <c r="H39" s="40">
        <v>0</v>
      </c>
      <c r="I39" s="40">
        <v>22</v>
      </c>
      <c r="J39" s="40">
        <v>209.4</v>
      </c>
      <c r="K39" s="56">
        <f t="shared" si="14"/>
        <v>232.20000000000002</v>
      </c>
      <c r="L39" s="40" t="s">
        <v>113</v>
      </c>
      <c r="M39" s="40">
        <v>0.25213114754100019</v>
      </c>
      <c r="N39" s="40">
        <v>50.300000000000004</v>
      </c>
      <c r="O39" s="40">
        <v>487.40000000000003</v>
      </c>
      <c r="P39" s="56">
        <f t="shared" si="5"/>
        <v>537.95213114754108</v>
      </c>
      <c r="Q39" s="40">
        <v>69.400000000000006</v>
      </c>
      <c r="R39" s="40">
        <v>52.8</v>
      </c>
      <c r="S39" s="40">
        <v>93.2</v>
      </c>
      <c r="T39" s="40">
        <v>505.8</v>
      </c>
      <c r="U39" s="40">
        <v>10.7</v>
      </c>
      <c r="V39" s="40">
        <f t="shared" si="3"/>
        <v>731.90000000000009</v>
      </c>
      <c r="W39" s="15"/>
    </row>
    <row r="40" spans="1:23" ht="22" customHeight="1" x14ac:dyDescent="0.25">
      <c r="A40" s="15"/>
      <c r="B40" s="39" t="s">
        <v>31</v>
      </c>
      <c r="C40" s="39" t="s">
        <v>36</v>
      </c>
      <c r="D40" s="40">
        <v>648.05882792739101</v>
      </c>
      <c r="E40" s="40">
        <f t="shared" si="13"/>
        <v>648.29999999999995</v>
      </c>
      <c r="F40" s="42">
        <f t="shared" si="2"/>
        <v>1.0003721453396142</v>
      </c>
      <c r="G40" s="40">
        <v>-0.6</v>
      </c>
      <c r="H40" s="40">
        <v>0</v>
      </c>
      <c r="I40" s="40">
        <v>91.6</v>
      </c>
      <c r="J40" s="40">
        <v>11.9</v>
      </c>
      <c r="K40" s="56">
        <f t="shared" si="14"/>
        <v>102.9</v>
      </c>
      <c r="L40" s="40">
        <v>7.2173770491802998</v>
      </c>
      <c r="M40" s="40">
        <v>0.46524590163929957</v>
      </c>
      <c r="N40" s="40">
        <v>265.8</v>
      </c>
      <c r="O40" s="40">
        <v>206.9</v>
      </c>
      <c r="P40" s="56">
        <f t="shared" si="5"/>
        <v>480.38262295081961</v>
      </c>
      <c r="Q40" s="40">
        <v>21.2</v>
      </c>
      <c r="R40" s="40">
        <v>13.7</v>
      </c>
      <c r="S40" s="40">
        <v>391.6</v>
      </c>
      <c r="T40" s="40">
        <v>212.4</v>
      </c>
      <c r="U40" s="40">
        <v>9.4</v>
      </c>
      <c r="V40" s="40">
        <f t="shared" si="3"/>
        <v>648.29999999999995</v>
      </c>
      <c r="W40" s="15"/>
    </row>
    <row r="41" spans="1:23" ht="22" customHeight="1" x14ac:dyDescent="0.25">
      <c r="A41" s="15"/>
      <c r="B41" s="39" t="s">
        <v>31</v>
      </c>
      <c r="C41" s="39" t="s">
        <v>33</v>
      </c>
      <c r="D41" s="40">
        <v>568.12358161559405</v>
      </c>
      <c r="E41" s="40">
        <f t="shared" si="13"/>
        <v>589.69999999999993</v>
      </c>
      <c r="F41" s="42">
        <f t="shared" si="2"/>
        <v>1.0379783890030549</v>
      </c>
      <c r="G41" s="40">
        <v>0.3</v>
      </c>
      <c r="H41" s="40">
        <v>0</v>
      </c>
      <c r="I41" s="40">
        <v>13.5</v>
      </c>
      <c r="J41" s="40">
        <v>30.5</v>
      </c>
      <c r="K41" s="56">
        <f t="shared" si="14"/>
        <v>44.3</v>
      </c>
      <c r="L41" s="40">
        <v>3.9803278688524983</v>
      </c>
      <c r="M41" s="40">
        <v>6.1308196721311505</v>
      </c>
      <c r="N41" s="40">
        <v>89.1</v>
      </c>
      <c r="O41" s="40">
        <v>336.7</v>
      </c>
      <c r="P41" s="56">
        <f t="shared" si="5"/>
        <v>435.91114754098362</v>
      </c>
      <c r="Q41" s="40">
        <v>27.5</v>
      </c>
      <c r="R41" s="40">
        <v>9.4</v>
      </c>
      <c r="S41" s="40">
        <v>113.5</v>
      </c>
      <c r="T41" s="40">
        <v>401</v>
      </c>
      <c r="U41" s="40">
        <v>38.299999999999997</v>
      </c>
      <c r="V41" s="40">
        <f t="shared" si="3"/>
        <v>589.69999999999993</v>
      </c>
      <c r="W41" s="15"/>
    </row>
    <row r="42" spans="1:23" ht="22" customHeight="1" x14ac:dyDescent="0.25">
      <c r="A42" s="15"/>
      <c r="B42" s="39" t="s">
        <v>31</v>
      </c>
      <c r="C42" s="39" t="s">
        <v>41</v>
      </c>
      <c r="D42" s="40">
        <v>410.71639496961001</v>
      </c>
      <c r="E42" s="40">
        <f t="shared" si="13"/>
        <v>632.89999999999986</v>
      </c>
      <c r="F42" s="42">
        <f t="shared" si="2"/>
        <v>1.5409659992921145</v>
      </c>
      <c r="G42" s="40">
        <v>1.1000000000000001</v>
      </c>
      <c r="H42" s="40">
        <v>0</v>
      </c>
      <c r="I42" s="40">
        <v>2.4</v>
      </c>
      <c r="J42" s="40">
        <v>20.3</v>
      </c>
      <c r="K42" s="56">
        <f t="shared" si="14"/>
        <v>23.8</v>
      </c>
      <c r="L42" s="40">
        <v>8.1006557377049013</v>
      </c>
      <c r="M42" s="40">
        <v>3.5822950819671995</v>
      </c>
      <c r="N42" s="40">
        <v>12.799999999999997</v>
      </c>
      <c r="O42" s="40">
        <v>340.9</v>
      </c>
      <c r="P42" s="56">
        <f t="shared" si="5"/>
        <v>365.38295081967209</v>
      </c>
      <c r="Q42" s="40">
        <v>35.1</v>
      </c>
      <c r="R42" s="40">
        <v>18.2</v>
      </c>
      <c r="S42" s="40">
        <v>49.9</v>
      </c>
      <c r="T42" s="40">
        <v>469.9</v>
      </c>
      <c r="U42" s="40">
        <v>59.8</v>
      </c>
      <c r="V42" s="40">
        <f t="shared" si="3"/>
        <v>632.89999999999986</v>
      </c>
      <c r="W42" s="15"/>
    </row>
    <row r="43" spans="1:23" ht="22" customHeight="1" x14ac:dyDescent="0.25">
      <c r="A43" s="15"/>
      <c r="B43" s="39" t="s">
        <v>31</v>
      </c>
      <c r="C43" s="39" t="s">
        <v>32</v>
      </c>
      <c r="D43" s="40">
        <v>355.60677350525299</v>
      </c>
      <c r="E43" s="40">
        <f t="shared" si="13"/>
        <v>602.20000000000005</v>
      </c>
      <c r="F43" s="42">
        <f t="shared" si="2"/>
        <v>1.6934435586365579</v>
      </c>
      <c r="G43" s="40">
        <v>2.9</v>
      </c>
      <c r="H43" s="40">
        <v>0</v>
      </c>
      <c r="I43" s="40">
        <v>7.8000000000000096</v>
      </c>
      <c r="J43" s="40">
        <v>0</v>
      </c>
      <c r="K43" s="56">
        <f t="shared" si="14"/>
        <v>10.70000000000001</v>
      </c>
      <c r="L43" s="40">
        <v>4.5049180327869003</v>
      </c>
      <c r="M43" s="40">
        <v>0</v>
      </c>
      <c r="N43" s="40">
        <v>157.50000000000003</v>
      </c>
      <c r="O43" s="40">
        <v>94.9</v>
      </c>
      <c r="P43" s="56">
        <f t="shared" si="5"/>
        <v>256.9049180327869</v>
      </c>
      <c r="Q43" s="40">
        <v>28.1</v>
      </c>
      <c r="R43" s="40">
        <v>0</v>
      </c>
      <c r="S43" s="40">
        <v>262.60000000000002</v>
      </c>
      <c r="T43" s="40">
        <v>167.5</v>
      </c>
      <c r="U43" s="40">
        <v>144</v>
      </c>
      <c r="V43" s="40">
        <f t="shared" si="3"/>
        <v>602.20000000000005</v>
      </c>
      <c r="W43" s="15"/>
    </row>
    <row r="44" spans="1:23" ht="22" customHeight="1" x14ac:dyDescent="0.25">
      <c r="A44" s="15"/>
      <c r="B44" s="43" t="s">
        <v>31</v>
      </c>
      <c r="C44" s="43" t="s">
        <v>31</v>
      </c>
      <c r="D44" s="44">
        <f>SUM(D38:D43)</f>
        <v>2787.9805361422182</v>
      </c>
      <c r="E44" s="44">
        <f>SUM(E38:E43)</f>
        <v>4508.2999999999993</v>
      </c>
      <c r="F44" s="46">
        <f t="shared" si="2"/>
        <v>1.6170485918234636</v>
      </c>
      <c r="G44" s="44">
        <f t="shared" ref="G44:U44" si="15">SUM(G38:G43)</f>
        <v>4.2</v>
      </c>
      <c r="H44" s="44">
        <f t="shared" si="15"/>
        <v>0</v>
      </c>
      <c r="I44" s="44">
        <f t="shared" si="15"/>
        <v>151.20000000000002</v>
      </c>
      <c r="J44" s="44">
        <f t="shared" si="15"/>
        <v>519</v>
      </c>
      <c r="K44" s="57">
        <f t="shared" si="15"/>
        <v>674.4</v>
      </c>
      <c r="L44" s="44">
        <f t="shared" si="15"/>
        <v>27.254754098360667</v>
      </c>
      <c r="M44" s="44">
        <f t="shared" si="15"/>
        <v>14.613442622950743</v>
      </c>
      <c r="N44" s="44">
        <f t="shared" si="15"/>
        <v>707.5</v>
      </c>
      <c r="O44" s="44">
        <f t="shared" si="15"/>
        <v>2406.6000000000004</v>
      </c>
      <c r="P44" s="57">
        <f t="shared" si="15"/>
        <v>3155.9681967213119</v>
      </c>
      <c r="Q44" s="44">
        <f t="shared" si="15"/>
        <v>186.9</v>
      </c>
      <c r="R44" s="44">
        <f t="shared" si="15"/>
        <v>135.9</v>
      </c>
      <c r="S44" s="44">
        <f t="shared" si="15"/>
        <v>1162.0999999999999</v>
      </c>
      <c r="T44" s="44">
        <f t="shared" si="15"/>
        <v>2708.2000000000003</v>
      </c>
      <c r="U44" s="44">
        <f t="shared" si="15"/>
        <v>315.2</v>
      </c>
      <c r="V44" s="44">
        <f t="shared" si="3"/>
        <v>4508.3</v>
      </c>
      <c r="W44" s="15"/>
    </row>
    <row r="45" spans="1:23" ht="22" customHeight="1" x14ac:dyDescent="0.25">
      <c r="A45" s="15"/>
      <c r="B45" s="39" t="s">
        <v>38</v>
      </c>
      <c r="C45" s="39" t="s">
        <v>10</v>
      </c>
      <c r="D45" s="40">
        <v>818.53848744063203</v>
      </c>
      <c r="E45" s="40">
        <f t="shared" ref="E45:E50" si="16">SUM(Q45:U45)</f>
        <v>1617.8000000000002</v>
      </c>
      <c r="F45" s="42">
        <f t="shared" si="2"/>
        <v>1.9764495192626332</v>
      </c>
      <c r="G45" s="40">
        <v>0</v>
      </c>
      <c r="H45" s="40">
        <v>0</v>
      </c>
      <c r="I45" s="40">
        <v>8.7000000000000508</v>
      </c>
      <c r="J45" s="40">
        <v>182.9</v>
      </c>
      <c r="K45" s="56">
        <f t="shared" ref="K45:K50" si="17">SUM(G45:J45)</f>
        <v>191.60000000000005</v>
      </c>
      <c r="L45" s="40" t="s">
        <v>113</v>
      </c>
      <c r="M45" s="40">
        <v>18.529508196721295</v>
      </c>
      <c r="N45" s="40">
        <v>749</v>
      </c>
      <c r="O45" s="40">
        <v>673.2</v>
      </c>
      <c r="P45" s="56">
        <f t="shared" si="5"/>
        <v>1440.7295081967213</v>
      </c>
      <c r="Q45" s="40">
        <v>45.8</v>
      </c>
      <c r="R45" s="40">
        <v>74.3</v>
      </c>
      <c r="S45" s="40">
        <v>791.6</v>
      </c>
      <c r="T45" s="40">
        <v>673.2</v>
      </c>
      <c r="U45" s="40">
        <v>32.9</v>
      </c>
      <c r="V45" s="40">
        <f t="shared" si="3"/>
        <v>1617.8000000000002</v>
      </c>
      <c r="W45" s="15"/>
    </row>
    <row r="46" spans="1:23" ht="22" customHeight="1" x14ac:dyDescent="0.25">
      <c r="A46" s="15"/>
      <c r="B46" s="39" t="s">
        <v>38</v>
      </c>
      <c r="C46" s="39" t="s">
        <v>39</v>
      </c>
      <c r="D46" s="40">
        <v>381.96531053988099</v>
      </c>
      <c r="E46" s="40">
        <f t="shared" si="16"/>
        <v>1021.8000000000001</v>
      </c>
      <c r="F46" s="42">
        <f t="shared" si="2"/>
        <v>2.675112037152688</v>
      </c>
      <c r="G46" s="40">
        <v>0.3</v>
      </c>
      <c r="H46" s="40">
        <v>0</v>
      </c>
      <c r="I46" s="40">
        <v>0.89999999999997704</v>
      </c>
      <c r="J46" s="40">
        <v>168.4</v>
      </c>
      <c r="K46" s="56">
        <f t="shared" si="17"/>
        <v>169.6</v>
      </c>
      <c r="L46" s="40" t="s">
        <v>113</v>
      </c>
      <c r="M46" s="40">
        <v>0.51934426229509967</v>
      </c>
      <c r="N46" s="40">
        <v>162.5</v>
      </c>
      <c r="O46" s="40">
        <v>357.80000000000007</v>
      </c>
      <c r="P46" s="56">
        <f t="shared" si="5"/>
        <v>520.8193442622952</v>
      </c>
      <c r="Q46" s="40">
        <v>33.5</v>
      </c>
      <c r="R46" s="40">
        <v>27</v>
      </c>
      <c r="S46" s="40">
        <v>359.5</v>
      </c>
      <c r="T46" s="40">
        <v>514.70000000000005</v>
      </c>
      <c r="U46" s="40">
        <v>87.1</v>
      </c>
      <c r="V46" s="40">
        <f t="shared" si="3"/>
        <v>1021.8000000000001</v>
      </c>
      <c r="W46" s="15"/>
    </row>
    <row r="47" spans="1:23" ht="22" customHeight="1" x14ac:dyDescent="0.25">
      <c r="A47" s="15"/>
      <c r="B47" s="39" t="s">
        <v>38</v>
      </c>
      <c r="C47" s="39" t="s">
        <v>43</v>
      </c>
      <c r="D47" s="40">
        <v>600.38928932663396</v>
      </c>
      <c r="E47" s="40">
        <f t="shared" si="16"/>
        <v>884.2</v>
      </c>
      <c r="F47" s="42">
        <f t="shared" si="2"/>
        <v>1.4727111487809412</v>
      </c>
      <c r="G47" s="40">
        <v>0.5</v>
      </c>
      <c r="H47" s="40">
        <v>22.2</v>
      </c>
      <c r="I47" s="40">
        <v>24.1</v>
      </c>
      <c r="J47" s="40">
        <v>14.8</v>
      </c>
      <c r="K47" s="56">
        <f t="shared" si="17"/>
        <v>61.599999999999994</v>
      </c>
      <c r="L47" s="40">
        <v>40.062622950819694</v>
      </c>
      <c r="M47" s="40">
        <v>22.191475409836073</v>
      </c>
      <c r="N47" s="40">
        <v>113</v>
      </c>
      <c r="O47" s="40">
        <v>585.9</v>
      </c>
      <c r="P47" s="56">
        <f t="shared" si="5"/>
        <v>761.15409836065578</v>
      </c>
      <c r="Q47" s="40">
        <v>82.8</v>
      </c>
      <c r="R47" s="40">
        <v>27.6</v>
      </c>
      <c r="S47" s="40">
        <v>126.2</v>
      </c>
      <c r="T47" s="40">
        <v>612</v>
      </c>
      <c r="U47" s="40">
        <v>35.6</v>
      </c>
      <c r="V47" s="40">
        <f t="shared" si="3"/>
        <v>884.2</v>
      </c>
      <c r="W47" s="15"/>
    </row>
    <row r="48" spans="1:23" ht="22" customHeight="1" x14ac:dyDescent="0.25">
      <c r="A48" s="15"/>
      <c r="B48" s="39" t="s">
        <v>38</v>
      </c>
      <c r="C48" s="39" t="s">
        <v>51</v>
      </c>
      <c r="D48" s="40">
        <v>509.74401434209</v>
      </c>
      <c r="E48" s="40">
        <f t="shared" si="16"/>
        <v>836.90000000000009</v>
      </c>
      <c r="F48" s="42">
        <f t="shared" si="2"/>
        <v>1.6418044674446244</v>
      </c>
      <c r="G48" s="40">
        <v>23.7</v>
      </c>
      <c r="H48" s="40">
        <v>17</v>
      </c>
      <c r="I48" s="40">
        <v>5.8999999999999799</v>
      </c>
      <c r="J48" s="40">
        <v>126.4</v>
      </c>
      <c r="K48" s="56">
        <f t="shared" si="17"/>
        <v>173</v>
      </c>
      <c r="L48" s="40">
        <v>139.00655737704918</v>
      </c>
      <c r="M48" s="40">
        <v>74.3</v>
      </c>
      <c r="N48" s="40">
        <v>123.69999999999999</v>
      </c>
      <c r="O48" s="40">
        <v>353.8</v>
      </c>
      <c r="P48" s="56">
        <f t="shared" si="5"/>
        <v>690.8065573770491</v>
      </c>
      <c r="Q48" s="40">
        <v>145.9</v>
      </c>
      <c r="R48" s="40">
        <v>74.3</v>
      </c>
      <c r="S48" s="40">
        <v>170.2</v>
      </c>
      <c r="T48" s="40">
        <v>424.3</v>
      </c>
      <c r="U48" s="40">
        <v>22.2</v>
      </c>
      <c r="V48" s="40">
        <f t="shared" si="3"/>
        <v>836.90000000000009</v>
      </c>
      <c r="W48" s="15"/>
    </row>
    <row r="49" spans="1:23" ht="22" customHeight="1" x14ac:dyDescent="0.25">
      <c r="A49" s="15"/>
      <c r="B49" s="39" t="s">
        <v>38</v>
      </c>
      <c r="C49" s="39" t="s">
        <v>54</v>
      </c>
      <c r="D49" s="40">
        <v>470.21792420280798</v>
      </c>
      <c r="E49" s="40">
        <f t="shared" si="16"/>
        <v>514.9</v>
      </c>
      <c r="F49" s="42">
        <f t="shared" si="2"/>
        <v>1.0950241866533363</v>
      </c>
      <c r="G49" s="40">
        <v>-0.1</v>
      </c>
      <c r="H49" s="40">
        <v>0</v>
      </c>
      <c r="I49" s="40">
        <v>0</v>
      </c>
      <c r="J49" s="40">
        <v>0</v>
      </c>
      <c r="K49" s="56">
        <f t="shared" si="17"/>
        <v>-0.1</v>
      </c>
      <c r="L49" s="40">
        <v>3.3045901639344262</v>
      </c>
      <c r="M49" s="40">
        <v>0</v>
      </c>
      <c r="N49" s="40">
        <v>94</v>
      </c>
      <c r="O49" s="40">
        <v>234.7</v>
      </c>
      <c r="P49" s="56">
        <f t="shared" si="5"/>
        <v>332.00459016393438</v>
      </c>
      <c r="Q49" s="40">
        <v>3.9</v>
      </c>
      <c r="R49" s="40">
        <v>0</v>
      </c>
      <c r="S49" s="40">
        <v>134</v>
      </c>
      <c r="T49" s="40">
        <v>280</v>
      </c>
      <c r="U49" s="40">
        <v>97</v>
      </c>
      <c r="V49" s="40">
        <f t="shared" si="3"/>
        <v>514.9</v>
      </c>
      <c r="W49" s="15"/>
    </row>
    <row r="50" spans="1:23" ht="22" customHeight="1" x14ac:dyDescent="0.25">
      <c r="A50" s="15"/>
      <c r="B50" s="39" t="s">
        <v>38</v>
      </c>
      <c r="C50" s="39" t="s">
        <v>64</v>
      </c>
      <c r="D50" s="40">
        <v>368.17775281926299</v>
      </c>
      <c r="E50" s="40">
        <f t="shared" si="16"/>
        <v>738.2</v>
      </c>
      <c r="F50" s="42">
        <f t="shared" si="2"/>
        <v>2.0050097930886648</v>
      </c>
      <c r="G50" s="40">
        <v>4</v>
      </c>
      <c r="H50" s="40">
        <v>0</v>
      </c>
      <c r="I50" s="40">
        <v>0.40000000000000602</v>
      </c>
      <c r="J50" s="40">
        <v>28.5</v>
      </c>
      <c r="K50" s="56">
        <f t="shared" si="17"/>
        <v>32.900000000000006</v>
      </c>
      <c r="L50" s="40">
        <v>14.022622950819695</v>
      </c>
      <c r="M50" s="40">
        <v>0</v>
      </c>
      <c r="N50" s="40">
        <v>130.9</v>
      </c>
      <c r="O50" s="40">
        <v>374.2</v>
      </c>
      <c r="P50" s="56">
        <f t="shared" si="5"/>
        <v>519.12262295081973</v>
      </c>
      <c r="Q50" s="40">
        <v>67.099999999999994</v>
      </c>
      <c r="R50" s="40">
        <v>0</v>
      </c>
      <c r="S50" s="40">
        <v>148.1</v>
      </c>
      <c r="T50" s="40">
        <v>510</v>
      </c>
      <c r="U50" s="40">
        <v>13</v>
      </c>
      <c r="V50" s="40">
        <f t="shared" si="3"/>
        <v>738.2</v>
      </c>
      <c r="W50" s="15"/>
    </row>
    <row r="51" spans="1:23" ht="22" customHeight="1" x14ac:dyDescent="0.25">
      <c r="A51" s="15"/>
      <c r="B51" s="43" t="s">
        <v>38</v>
      </c>
      <c r="C51" s="43" t="s">
        <v>38</v>
      </c>
      <c r="D51" s="44">
        <f>SUM(D45:D50)</f>
        <v>3149.0327786713074</v>
      </c>
      <c r="E51" s="44">
        <f>SUM(E45:E50)</f>
        <v>5613.8</v>
      </c>
      <c r="F51" s="46">
        <f t="shared" si="2"/>
        <v>1.7827061178984198</v>
      </c>
      <c r="G51" s="44">
        <f t="shared" ref="G51:U51" si="18">SUM(G45:G50)</f>
        <v>28.4</v>
      </c>
      <c r="H51" s="44">
        <f t="shared" si="18"/>
        <v>39.200000000000003</v>
      </c>
      <c r="I51" s="44">
        <f t="shared" si="18"/>
        <v>40.000000000000014</v>
      </c>
      <c r="J51" s="44">
        <f t="shared" si="18"/>
        <v>521</v>
      </c>
      <c r="K51" s="57">
        <f t="shared" si="18"/>
        <v>628.6</v>
      </c>
      <c r="L51" s="44">
        <f t="shared" si="18"/>
        <v>196.39639344262298</v>
      </c>
      <c r="M51" s="44">
        <f t="shared" si="18"/>
        <v>115.54032786885247</v>
      </c>
      <c r="N51" s="44">
        <f t="shared" si="18"/>
        <v>1373.1000000000001</v>
      </c>
      <c r="O51" s="44">
        <f t="shared" si="18"/>
        <v>2579.6</v>
      </c>
      <c r="P51" s="57">
        <f t="shared" si="18"/>
        <v>4264.6367213114754</v>
      </c>
      <c r="Q51" s="44">
        <f t="shared" si="18"/>
        <v>379</v>
      </c>
      <c r="R51" s="44">
        <f t="shared" si="18"/>
        <v>203.2</v>
      </c>
      <c r="S51" s="44">
        <f t="shared" si="18"/>
        <v>1729.6</v>
      </c>
      <c r="T51" s="44">
        <f t="shared" si="18"/>
        <v>3014.2000000000003</v>
      </c>
      <c r="U51" s="44">
        <f t="shared" si="18"/>
        <v>287.79999999999995</v>
      </c>
      <c r="V51" s="44">
        <f t="shared" si="3"/>
        <v>5613.8</v>
      </c>
      <c r="W51" s="15"/>
    </row>
    <row r="52" spans="1:23" ht="22" customHeight="1" x14ac:dyDescent="0.25">
      <c r="A52" s="15"/>
      <c r="B52" s="39" t="s">
        <v>45</v>
      </c>
      <c r="C52" s="39" t="s">
        <v>28</v>
      </c>
      <c r="D52" s="40">
        <v>597.87845611079399</v>
      </c>
      <c r="E52" s="40">
        <f t="shared" ref="E52:E58" si="19">SUM(Q52:U52)</f>
        <v>658.7</v>
      </c>
      <c r="F52" s="42">
        <f t="shared" si="2"/>
        <v>1.101728943847301</v>
      </c>
      <c r="G52" s="40">
        <v>-0.7</v>
      </c>
      <c r="H52" s="40">
        <v>0</v>
      </c>
      <c r="I52" s="40">
        <v>240.8</v>
      </c>
      <c r="J52" s="40">
        <v>288.89999999999998</v>
      </c>
      <c r="K52" s="56">
        <f t="shared" ref="K52:K58" si="20">SUM(G52:J52)</f>
        <v>529</v>
      </c>
      <c r="L52" s="40">
        <v>7.7406557377049019</v>
      </c>
      <c r="M52" s="40">
        <v>0</v>
      </c>
      <c r="N52" s="40">
        <v>268.60000000000002</v>
      </c>
      <c r="O52" s="40">
        <v>310.5</v>
      </c>
      <c r="P52" s="56">
        <f t="shared" si="5"/>
        <v>586.84065573770499</v>
      </c>
      <c r="Q52" s="40">
        <v>29.6</v>
      </c>
      <c r="R52" s="40">
        <v>0</v>
      </c>
      <c r="S52" s="40">
        <v>296.5</v>
      </c>
      <c r="T52" s="40">
        <v>310.5</v>
      </c>
      <c r="U52" s="40">
        <v>22.1</v>
      </c>
      <c r="V52" s="40">
        <f t="shared" si="3"/>
        <v>658.7</v>
      </c>
      <c r="W52" s="15"/>
    </row>
    <row r="53" spans="1:23" ht="22" customHeight="1" x14ac:dyDescent="0.25">
      <c r="A53" s="15"/>
      <c r="B53" s="39" t="s">
        <v>45</v>
      </c>
      <c r="C53" s="39" t="s">
        <v>66</v>
      </c>
      <c r="D53" s="40">
        <v>526.49242899144599</v>
      </c>
      <c r="E53" s="40">
        <f t="shared" si="19"/>
        <v>224.60000000000002</v>
      </c>
      <c r="F53" s="42">
        <f t="shared" si="2"/>
        <v>0.42659682766995521</v>
      </c>
      <c r="G53" s="40">
        <v>0.9</v>
      </c>
      <c r="H53" s="40">
        <v>0</v>
      </c>
      <c r="I53" s="40">
        <v>21.3</v>
      </c>
      <c r="J53" s="40">
        <v>0</v>
      </c>
      <c r="K53" s="56">
        <f t="shared" si="20"/>
        <v>22.2</v>
      </c>
      <c r="L53" s="40">
        <v>3.7301639344261979</v>
      </c>
      <c r="M53" s="40">
        <v>-0.10688524590159965</v>
      </c>
      <c r="N53" s="40">
        <v>101.2</v>
      </c>
      <c r="O53" s="40">
        <v>65.7</v>
      </c>
      <c r="P53" s="56">
        <f t="shared" si="5"/>
        <v>170.52327868852461</v>
      </c>
      <c r="Q53" s="40">
        <v>21.4</v>
      </c>
      <c r="R53" s="40">
        <v>10.4</v>
      </c>
      <c r="S53" s="40">
        <v>110.3</v>
      </c>
      <c r="T53" s="40">
        <v>65.7</v>
      </c>
      <c r="U53" s="40">
        <v>16.8</v>
      </c>
      <c r="V53" s="40">
        <f t="shared" si="3"/>
        <v>224.60000000000002</v>
      </c>
      <c r="W53" s="15"/>
    </row>
    <row r="54" spans="1:23" ht="22" customHeight="1" x14ac:dyDescent="0.25">
      <c r="A54" s="15"/>
      <c r="B54" s="39" t="s">
        <v>45</v>
      </c>
      <c r="C54" s="39" t="s">
        <v>46</v>
      </c>
      <c r="D54" s="40">
        <v>401.89382539190098</v>
      </c>
      <c r="E54" s="40">
        <f t="shared" si="19"/>
        <v>704.1</v>
      </c>
      <c r="F54" s="42">
        <f t="shared" si="2"/>
        <v>1.7519552566238286</v>
      </c>
      <c r="G54" s="40">
        <v>0.2</v>
      </c>
      <c r="H54" s="40">
        <v>0</v>
      </c>
      <c r="I54" s="40">
        <v>0.60000000000002296</v>
      </c>
      <c r="J54" s="40">
        <v>55.7</v>
      </c>
      <c r="K54" s="56">
        <f t="shared" si="20"/>
        <v>56.500000000000028</v>
      </c>
      <c r="L54" s="40">
        <v>15.6052459016393</v>
      </c>
      <c r="M54" s="40">
        <v>-0.10098360655740279</v>
      </c>
      <c r="N54" s="40">
        <v>119.10000000000001</v>
      </c>
      <c r="O54" s="40">
        <v>402.40000000000003</v>
      </c>
      <c r="P54" s="56">
        <f t="shared" si="5"/>
        <v>537.00426229508196</v>
      </c>
      <c r="Q54" s="40">
        <v>40.5</v>
      </c>
      <c r="R54" s="40">
        <v>27.9</v>
      </c>
      <c r="S54" s="40">
        <v>191.8</v>
      </c>
      <c r="T54" s="40">
        <v>422.6</v>
      </c>
      <c r="U54" s="40">
        <v>21.3</v>
      </c>
      <c r="V54" s="40">
        <f t="shared" si="3"/>
        <v>704.1</v>
      </c>
      <c r="W54" s="15"/>
    </row>
    <row r="55" spans="1:23" ht="22" customHeight="1" x14ac:dyDescent="0.25">
      <c r="A55" s="15"/>
      <c r="B55" s="39" t="s">
        <v>45</v>
      </c>
      <c r="C55" s="39" t="s">
        <v>49</v>
      </c>
      <c r="D55" s="40">
        <v>485.48717237223599</v>
      </c>
      <c r="E55" s="40">
        <f t="shared" si="19"/>
        <v>633.1</v>
      </c>
      <c r="F55" s="42">
        <f t="shared" si="2"/>
        <v>1.3040509328114345</v>
      </c>
      <c r="G55" s="40">
        <v>0.4</v>
      </c>
      <c r="H55" s="40">
        <v>0</v>
      </c>
      <c r="I55" s="40">
        <v>0.19999999999998899</v>
      </c>
      <c r="J55" s="40">
        <v>61.7</v>
      </c>
      <c r="K55" s="56">
        <f t="shared" si="20"/>
        <v>62.29999999999999</v>
      </c>
      <c r="L55" s="40">
        <v>3.3203278688525</v>
      </c>
      <c r="M55" s="40">
        <v>3.8868852459016403</v>
      </c>
      <c r="N55" s="40">
        <v>75.900000000000006</v>
      </c>
      <c r="O55" s="40">
        <v>383.5</v>
      </c>
      <c r="P55" s="56">
        <f t="shared" si="5"/>
        <v>466.60721311475413</v>
      </c>
      <c r="Q55" s="40">
        <v>18.3</v>
      </c>
      <c r="R55" s="40">
        <v>6.2</v>
      </c>
      <c r="S55" s="40">
        <v>134.5</v>
      </c>
      <c r="T55" s="40">
        <v>383.5</v>
      </c>
      <c r="U55" s="40">
        <v>90.6</v>
      </c>
      <c r="V55" s="40">
        <f t="shared" si="3"/>
        <v>633.1</v>
      </c>
      <c r="W55" s="15"/>
    </row>
    <row r="56" spans="1:23" ht="22" customHeight="1" x14ac:dyDescent="0.25">
      <c r="A56" s="15"/>
      <c r="B56" s="39" t="s">
        <v>45</v>
      </c>
      <c r="C56" s="39" t="s">
        <v>22</v>
      </c>
      <c r="D56" s="40">
        <v>400.945733428746</v>
      </c>
      <c r="E56" s="40">
        <f t="shared" si="19"/>
        <v>319.2</v>
      </c>
      <c r="F56" s="42">
        <f t="shared" si="2"/>
        <v>0.7961177121659696</v>
      </c>
      <c r="G56" s="40">
        <v>2.6</v>
      </c>
      <c r="H56" s="40">
        <v>0</v>
      </c>
      <c r="I56" s="40">
        <v>0</v>
      </c>
      <c r="J56" s="40">
        <v>0</v>
      </c>
      <c r="K56" s="56">
        <f t="shared" si="20"/>
        <v>2.6</v>
      </c>
      <c r="L56" s="40">
        <v>6.4937704918032964</v>
      </c>
      <c r="M56" s="40">
        <v>0.45737704918030175</v>
      </c>
      <c r="N56" s="40">
        <v>91.3</v>
      </c>
      <c r="O56" s="40">
        <v>55.8</v>
      </c>
      <c r="P56" s="56">
        <f t="shared" si="5"/>
        <v>154.05114754098361</v>
      </c>
      <c r="Q56" s="40">
        <v>35.799999999999997</v>
      </c>
      <c r="R56" s="40">
        <v>38.700000000000003</v>
      </c>
      <c r="S56" s="40">
        <v>166.5</v>
      </c>
      <c r="T56" s="40">
        <v>55.8</v>
      </c>
      <c r="U56" s="40">
        <v>22.4</v>
      </c>
      <c r="V56" s="40">
        <f t="shared" si="3"/>
        <v>319.2</v>
      </c>
      <c r="W56" s="15"/>
    </row>
    <row r="57" spans="1:23" ht="22" customHeight="1" x14ac:dyDescent="0.25">
      <c r="A57" s="15"/>
      <c r="B57" s="39" t="s">
        <v>45</v>
      </c>
      <c r="C57" s="39" t="s">
        <v>56</v>
      </c>
      <c r="D57" s="40">
        <v>769.75327628523803</v>
      </c>
      <c r="E57" s="40">
        <f t="shared" si="19"/>
        <v>1526.6000000000004</v>
      </c>
      <c r="F57" s="42">
        <f t="shared" si="2"/>
        <v>1.9832328708846014</v>
      </c>
      <c r="G57" s="40">
        <v>2.6</v>
      </c>
      <c r="H57" s="40">
        <v>0</v>
      </c>
      <c r="I57" s="40">
        <v>17.8000000000001</v>
      </c>
      <c r="J57" s="40">
        <v>5.7</v>
      </c>
      <c r="K57" s="56">
        <f t="shared" si="20"/>
        <v>26.100000000000101</v>
      </c>
      <c r="L57" s="40">
        <v>8.3465573770491819</v>
      </c>
      <c r="M57" s="40">
        <v>5.3098360655737711</v>
      </c>
      <c r="N57" s="40">
        <v>510.40000000000009</v>
      </c>
      <c r="O57" s="40">
        <v>5.7</v>
      </c>
      <c r="P57" s="56">
        <f t="shared" si="5"/>
        <v>529.75639344262311</v>
      </c>
      <c r="Q57" s="40">
        <v>17.600000000000001</v>
      </c>
      <c r="R57" s="40">
        <v>8.8000000000000007</v>
      </c>
      <c r="S57" s="40">
        <v>1024.4000000000001</v>
      </c>
      <c r="T57" s="40">
        <v>5.7</v>
      </c>
      <c r="U57" s="40">
        <v>470.1</v>
      </c>
      <c r="V57" s="40">
        <f t="shared" si="3"/>
        <v>1526.6000000000004</v>
      </c>
      <c r="W57" s="15"/>
    </row>
    <row r="58" spans="1:23" ht="22" customHeight="1" x14ac:dyDescent="0.25">
      <c r="A58" s="15"/>
      <c r="B58" s="39" t="s">
        <v>45</v>
      </c>
      <c r="C58" s="39" t="s">
        <v>79</v>
      </c>
      <c r="D58" s="40">
        <v>421.94756532139201</v>
      </c>
      <c r="E58" s="40">
        <f t="shared" si="19"/>
        <v>246.5</v>
      </c>
      <c r="F58" s="42">
        <f t="shared" si="2"/>
        <v>0.58419581070990212</v>
      </c>
      <c r="G58" s="40">
        <v>2</v>
      </c>
      <c r="H58" s="40">
        <v>0</v>
      </c>
      <c r="I58" s="40">
        <v>16.8</v>
      </c>
      <c r="J58" s="40">
        <v>34.299999999999997</v>
      </c>
      <c r="K58" s="56">
        <f t="shared" si="20"/>
        <v>53.099999999999994</v>
      </c>
      <c r="L58" s="40">
        <v>0.60655737704919943</v>
      </c>
      <c r="M58" s="40">
        <v>-9.1439344262294995</v>
      </c>
      <c r="N58" s="40">
        <v>43.4</v>
      </c>
      <c r="O58" s="40">
        <v>148.80000000000001</v>
      </c>
      <c r="P58" s="56">
        <f t="shared" si="5"/>
        <v>183.6626229508197</v>
      </c>
      <c r="Q58" s="40">
        <v>29.3</v>
      </c>
      <c r="R58" s="40">
        <v>6.2</v>
      </c>
      <c r="S58" s="40">
        <v>55</v>
      </c>
      <c r="T58" s="40">
        <v>148.80000000000001</v>
      </c>
      <c r="U58" s="40">
        <v>7.2</v>
      </c>
      <c r="V58" s="40">
        <f t="shared" si="3"/>
        <v>246.5</v>
      </c>
      <c r="W58" s="15"/>
    </row>
    <row r="59" spans="1:23" ht="22" customHeight="1" x14ac:dyDescent="0.25">
      <c r="A59" s="15"/>
      <c r="B59" s="43" t="s">
        <v>45</v>
      </c>
      <c r="C59" s="43" t="s">
        <v>45</v>
      </c>
      <c r="D59" s="44">
        <f>SUM(D52:D58)</f>
        <v>3604.3984579017529</v>
      </c>
      <c r="E59" s="44">
        <f>SUM(E52:E58)</f>
        <v>4312.8</v>
      </c>
      <c r="F59" s="46">
        <f t="shared" si="2"/>
        <v>1.1965380771222038</v>
      </c>
      <c r="G59" s="44">
        <f t="shared" ref="G59:U59" si="21">SUM(G52:G58)</f>
        <v>8</v>
      </c>
      <c r="H59" s="44">
        <f t="shared" si="21"/>
        <v>0</v>
      </c>
      <c r="I59" s="44">
        <f t="shared" si="21"/>
        <v>297.50000000000017</v>
      </c>
      <c r="J59" s="44">
        <f t="shared" si="21"/>
        <v>446.29999999999995</v>
      </c>
      <c r="K59" s="57">
        <f t="shared" si="21"/>
        <v>751.80000000000018</v>
      </c>
      <c r="L59" s="44">
        <f t="shared" si="21"/>
        <v>45.843278688524578</v>
      </c>
      <c r="M59" s="44">
        <f t="shared" si="21"/>
        <v>0.30229508196721078</v>
      </c>
      <c r="N59" s="44">
        <f t="shared" si="21"/>
        <v>1209.9000000000001</v>
      </c>
      <c r="O59" s="44">
        <f t="shared" si="21"/>
        <v>1372.3999999999999</v>
      </c>
      <c r="P59" s="57">
        <f t="shared" si="21"/>
        <v>2628.445573770492</v>
      </c>
      <c r="Q59" s="44">
        <f t="shared" si="21"/>
        <v>192.5</v>
      </c>
      <c r="R59" s="44">
        <f t="shared" si="21"/>
        <v>98.2</v>
      </c>
      <c r="S59" s="44">
        <f t="shared" si="21"/>
        <v>1979</v>
      </c>
      <c r="T59" s="44">
        <f t="shared" si="21"/>
        <v>1392.6</v>
      </c>
      <c r="U59" s="44">
        <f t="shared" si="21"/>
        <v>650.50000000000011</v>
      </c>
      <c r="V59" s="44">
        <f t="shared" si="3"/>
        <v>4312.8</v>
      </c>
      <c r="W59" s="15"/>
    </row>
    <row r="60" spans="1:23" ht="22" customHeight="1" x14ac:dyDescent="0.25">
      <c r="A60" s="15"/>
      <c r="B60" s="39" t="s">
        <v>53</v>
      </c>
      <c r="C60" s="39" t="s">
        <v>68</v>
      </c>
      <c r="D60" s="40">
        <v>680.22605468284496</v>
      </c>
      <c r="E60" s="40">
        <f t="shared" ref="E60:E66" si="22">SUM(Q60:U60)</f>
        <v>1966.1999999999998</v>
      </c>
      <c r="F60" s="42">
        <f t="shared" si="2"/>
        <v>2.890509686396443</v>
      </c>
      <c r="G60" s="40">
        <v>4.9000000000000004</v>
      </c>
      <c r="H60" s="40">
        <v>0</v>
      </c>
      <c r="I60" s="40">
        <v>3</v>
      </c>
      <c r="J60" s="40">
        <v>66.8</v>
      </c>
      <c r="K60" s="56">
        <f t="shared" ref="K60:K66" si="23">SUM(G60:J60)</f>
        <v>74.7</v>
      </c>
      <c r="L60" s="40" t="s">
        <v>113</v>
      </c>
      <c r="M60" s="40">
        <v>11.104590163934006</v>
      </c>
      <c r="N60" s="40">
        <v>187.2</v>
      </c>
      <c r="O60" s="40">
        <v>1064.8</v>
      </c>
      <c r="P60" s="56">
        <f t="shared" si="5"/>
        <v>1263.1045901639341</v>
      </c>
      <c r="Q60" s="40">
        <v>77.5</v>
      </c>
      <c r="R60" s="40">
        <v>120.2</v>
      </c>
      <c r="S60" s="40">
        <v>268.39999999999998</v>
      </c>
      <c r="T60" s="40">
        <v>1493.3</v>
      </c>
      <c r="U60" s="40">
        <v>6.8</v>
      </c>
      <c r="V60" s="40">
        <f t="shared" si="3"/>
        <v>1966.1999999999998</v>
      </c>
      <c r="W60" s="15"/>
    </row>
    <row r="61" spans="1:23" ht="22" customHeight="1" x14ac:dyDescent="0.25">
      <c r="A61" s="15"/>
      <c r="B61" s="39" t="s">
        <v>53</v>
      </c>
      <c r="C61" s="39" t="s">
        <v>69</v>
      </c>
      <c r="D61" s="40">
        <v>525.53471294424105</v>
      </c>
      <c r="E61" s="40">
        <f t="shared" si="22"/>
        <v>1125.0999999999999</v>
      </c>
      <c r="F61" s="42">
        <f t="shared" si="2"/>
        <v>2.1408671440498592</v>
      </c>
      <c r="G61" s="40">
        <v>0</v>
      </c>
      <c r="H61" s="40">
        <v>0</v>
      </c>
      <c r="I61" s="40">
        <v>7.2999999999999803</v>
      </c>
      <c r="J61" s="40">
        <v>0</v>
      </c>
      <c r="K61" s="56">
        <f t="shared" si="23"/>
        <v>7.2999999999999803</v>
      </c>
      <c r="L61" s="40">
        <v>-3.4957377049179996</v>
      </c>
      <c r="M61" s="40">
        <v>0.4052459016392973</v>
      </c>
      <c r="N61" s="40">
        <v>173.6</v>
      </c>
      <c r="O61" s="40">
        <v>584</v>
      </c>
      <c r="P61" s="56">
        <f t="shared" si="5"/>
        <v>754.5095081967213</v>
      </c>
      <c r="Q61" s="40">
        <v>25</v>
      </c>
      <c r="R61" s="40">
        <v>45.3</v>
      </c>
      <c r="S61" s="40">
        <v>246.2</v>
      </c>
      <c r="T61" s="40">
        <v>789</v>
      </c>
      <c r="U61" s="40">
        <v>19.600000000000001</v>
      </c>
      <c r="V61" s="40">
        <f t="shared" si="3"/>
        <v>1125.0999999999999</v>
      </c>
      <c r="W61" s="15"/>
    </row>
    <row r="62" spans="1:23" ht="22" customHeight="1" x14ac:dyDescent="0.25">
      <c r="A62" s="15"/>
      <c r="B62" s="39" t="s">
        <v>53</v>
      </c>
      <c r="C62" s="39" t="s">
        <v>19</v>
      </c>
      <c r="D62" s="40">
        <v>427.37391048087602</v>
      </c>
      <c r="E62" s="40">
        <f t="shared" si="22"/>
        <v>728.8</v>
      </c>
      <c r="F62" s="42">
        <f t="shared" si="2"/>
        <v>1.7052982929630938</v>
      </c>
      <c r="G62" s="40">
        <v>2.8</v>
      </c>
      <c r="H62" s="40">
        <v>0</v>
      </c>
      <c r="I62" s="40">
        <v>9.3999999999999897</v>
      </c>
      <c r="J62" s="40">
        <v>81.2</v>
      </c>
      <c r="K62" s="56">
        <f t="shared" si="23"/>
        <v>93.399999999999991</v>
      </c>
      <c r="L62" s="40">
        <v>-1.1740983606556981</v>
      </c>
      <c r="M62" s="40">
        <v>0.46688524590160085</v>
      </c>
      <c r="N62" s="40">
        <v>64.199999999999989</v>
      </c>
      <c r="O62" s="40">
        <v>537.6</v>
      </c>
      <c r="P62" s="56">
        <f t="shared" si="5"/>
        <v>601.09278688524591</v>
      </c>
      <c r="Q62" s="40">
        <v>43.7</v>
      </c>
      <c r="R62" s="40">
        <v>17.600000000000001</v>
      </c>
      <c r="S62" s="40">
        <v>90.1</v>
      </c>
      <c r="T62" s="40">
        <v>560.6</v>
      </c>
      <c r="U62" s="40">
        <v>16.8</v>
      </c>
      <c r="V62" s="40">
        <f t="shared" si="3"/>
        <v>728.8</v>
      </c>
      <c r="W62" s="15"/>
    </row>
    <row r="63" spans="1:23" ht="22" customHeight="1" x14ac:dyDescent="0.25">
      <c r="A63" s="15"/>
      <c r="B63" s="39" t="s">
        <v>53</v>
      </c>
      <c r="C63" s="39" t="s">
        <v>12</v>
      </c>
      <c r="D63" s="40">
        <v>593.506678889093</v>
      </c>
      <c r="E63" s="40">
        <f t="shared" si="22"/>
        <v>438.59999999999997</v>
      </c>
      <c r="F63" s="42">
        <f t="shared" si="2"/>
        <v>0.7389975809892444</v>
      </c>
      <c r="G63" s="40">
        <v>1.6</v>
      </c>
      <c r="H63" s="40">
        <v>0</v>
      </c>
      <c r="I63" s="40">
        <v>9.1999999999999904</v>
      </c>
      <c r="J63" s="40">
        <v>0</v>
      </c>
      <c r="K63" s="56">
        <f t="shared" si="23"/>
        <v>10.79999999999999</v>
      </c>
      <c r="L63" s="40">
        <v>30.790491803278691</v>
      </c>
      <c r="M63" s="40">
        <v>31.6</v>
      </c>
      <c r="N63" s="40">
        <v>70.699999999999989</v>
      </c>
      <c r="O63" s="40">
        <v>90.5</v>
      </c>
      <c r="P63" s="56">
        <f t="shared" si="5"/>
        <v>223.59049180327867</v>
      </c>
      <c r="Q63" s="40">
        <v>67.099999999999994</v>
      </c>
      <c r="R63" s="40">
        <v>31.6</v>
      </c>
      <c r="S63" s="40">
        <v>135.6</v>
      </c>
      <c r="T63" s="40">
        <v>184.9</v>
      </c>
      <c r="U63" s="40">
        <v>19.399999999999999</v>
      </c>
      <c r="V63" s="40">
        <f t="shared" si="3"/>
        <v>438.59999999999997</v>
      </c>
      <c r="W63" s="15"/>
    </row>
    <row r="64" spans="1:23" ht="22" customHeight="1" x14ac:dyDescent="0.25">
      <c r="A64" s="15"/>
      <c r="B64" s="39" t="s">
        <v>53</v>
      </c>
      <c r="C64" s="39" t="s">
        <v>42</v>
      </c>
      <c r="D64" s="40">
        <v>482.80086764451897</v>
      </c>
      <c r="E64" s="40">
        <f t="shared" si="22"/>
        <v>358.29999999999995</v>
      </c>
      <c r="F64" s="42">
        <f t="shared" si="2"/>
        <v>0.74212791237942088</v>
      </c>
      <c r="G64" s="40">
        <v>1.2</v>
      </c>
      <c r="H64" s="40">
        <v>0</v>
      </c>
      <c r="I64" s="40">
        <v>20.9</v>
      </c>
      <c r="J64" s="40">
        <v>10</v>
      </c>
      <c r="K64" s="56">
        <f t="shared" si="23"/>
        <v>32.099999999999994</v>
      </c>
      <c r="L64" s="40">
        <v>8.1206557377049204</v>
      </c>
      <c r="M64" s="40">
        <v>0</v>
      </c>
      <c r="N64" s="40">
        <v>54.300000000000004</v>
      </c>
      <c r="O64" s="40">
        <v>178.60000000000002</v>
      </c>
      <c r="P64" s="56">
        <f t="shared" si="5"/>
        <v>241.02065573770494</v>
      </c>
      <c r="Q64" s="40">
        <v>12.3</v>
      </c>
      <c r="R64" s="40">
        <v>0</v>
      </c>
      <c r="S64" s="40">
        <v>62.2</v>
      </c>
      <c r="T64" s="40">
        <v>245.9</v>
      </c>
      <c r="U64" s="40">
        <v>37.9</v>
      </c>
      <c r="V64" s="40">
        <f t="shared" si="3"/>
        <v>358.29999999999995</v>
      </c>
      <c r="W64" s="15"/>
    </row>
    <row r="65" spans="1:23" ht="22" customHeight="1" x14ac:dyDescent="0.25">
      <c r="A65" s="15"/>
      <c r="B65" s="39" t="s">
        <v>53</v>
      </c>
      <c r="C65" s="39" t="s">
        <v>34</v>
      </c>
      <c r="D65" s="40">
        <v>658.21357036035295</v>
      </c>
      <c r="E65" s="40">
        <f t="shared" si="22"/>
        <v>1132.0999999999999</v>
      </c>
      <c r="F65" s="42">
        <f t="shared" si="2"/>
        <v>1.7199584617804338</v>
      </c>
      <c r="G65" s="40">
        <v>0.3</v>
      </c>
      <c r="H65" s="40">
        <v>0</v>
      </c>
      <c r="I65" s="40">
        <v>24.5</v>
      </c>
      <c r="J65" s="40">
        <v>486</v>
      </c>
      <c r="K65" s="56">
        <f t="shared" si="23"/>
        <v>510.8</v>
      </c>
      <c r="L65" s="40">
        <v>5.0124590163934002</v>
      </c>
      <c r="M65" s="40">
        <v>-1.6721311475397016E-2</v>
      </c>
      <c r="N65" s="40">
        <v>143</v>
      </c>
      <c r="O65" s="40">
        <v>859.5</v>
      </c>
      <c r="P65" s="56">
        <f t="shared" si="5"/>
        <v>1007.495737704918</v>
      </c>
      <c r="Q65" s="40">
        <v>23.1</v>
      </c>
      <c r="R65" s="40">
        <v>25.1</v>
      </c>
      <c r="S65" s="40">
        <v>197.1</v>
      </c>
      <c r="T65" s="40">
        <v>859.5</v>
      </c>
      <c r="U65" s="40">
        <v>27.3</v>
      </c>
      <c r="V65" s="40">
        <f t="shared" si="3"/>
        <v>1132.0999999999999</v>
      </c>
      <c r="W65" s="15"/>
    </row>
    <row r="66" spans="1:23" ht="22" customHeight="1" x14ac:dyDescent="0.25">
      <c r="A66" s="15"/>
      <c r="B66" s="39" t="s">
        <v>53</v>
      </c>
      <c r="C66" s="39" t="s">
        <v>59</v>
      </c>
      <c r="D66" s="40">
        <v>470.14062010155999</v>
      </c>
      <c r="E66" s="40">
        <f t="shared" si="22"/>
        <v>500.1</v>
      </c>
      <c r="F66" s="42">
        <f t="shared" si="2"/>
        <v>1.0637242957053321</v>
      </c>
      <c r="G66" s="40">
        <v>-0.4</v>
      </c>
      <c r="H66" s="40">
        <v>0</v>
      </c>
      <c r="I66" s="40">
        <v>42.8</v>
      </c>
      <c r="J66" s="40">
        <v>58.2</v>
      </c>
      <c r="K66" s="56">
        <f t="shared" si="23"/>
        <v>100.6</v>
      </c>
      <c r="L66" s="40">
        <v>1.0216393442622995</v>
      </c>
      <c r="M66" s="40">
        <v>0</v>
      </c>
      <c r="N66" s="40">
        <v>139.19999999999999</v>
      </c>
      <c r="O66" s="40">
        <v>320.8</v>
      </c>
      <c r="P66" s="56">
        <f t="shared" si="5"/>
        <v>461.02163934426233</v>
      </c>
      <c r="Q66" s="40">
        <v>4.0999999999999996</v>
      </c>
      <c r="R66" s="40">
        <v>0</v>
      </c>
      <c r="S66" s="40">
        <v>155.6</v>
      </c>
      <c r="T66" s="40">
        <v>320.8</v>
      </c>
      <c r="U66" s="40">
        <v>19.600000000000001</v>
      </c>
      <c r="V66" s="40">
        <f t="shared" si="3"/>
        <v>500.1</v>
      </c>
      <c r="W66" s="15"/>
    </row>
    <row r="67" spans="1:23" ht="22" customHeight="1" x14ac:dyDescent="0.25">
      <c r="B67" s="43" t="s">
        <v>53</v>
      </c>
      <c r="C67" s="43" t="s">
        <v>53</v>
      </c>
      <c r="D67" s="44">
        <f>SUM(D60:D66)</f>
        <v>3837.7964151034867</v>
      </c>
      <c r="E67" s="44">
        <f>SUM(E60:E66)</f>
        <v>6249.2000000000007</v>
      </c>
      <c r="F67" s="46">
        <f t="shared" si="2"/>
        <v>1.6283302510280473</v>
      </c>
      <c r="G67" s="44">
        <f t="shared" ref="G67:U67" si="24">SUM(G60:G66)</f>
        <v>10.4</v>
      </c>
      <c r="H67" s="44">
        <f t="shared" si="24"/>
        <v>0</v>
      </c>
      <c r="I67" s="44">
        <f t="shared" si="24"/>
        <v>117.09999999999995</v>
      </c>
      <c r="J67" s="44">
        <f t="shared" si="24"/>
        <v>702.2</v>
      </c>
      <c r="K67" s="57">
        <f t="shared" si="24"/>
        <v>829.69999999999993</v>
      </c>
      <c r="L67" s="44">
        <f t="shared" si="24"/>
        <v>40.275409836065613</v>
      </c>
      <c r="M67" s="44">
        <f t="shared" si="24"/>
        <v>43.559999999999505</v>
      </c>
      <c r="N67" s="44">
        <f t="shared" si="24"/>
        <v>832.19999999999982</v>
      </c>
      <c r="O67" s="44">
        <f t="shared" si="24"/>
        <v>3635.8</v>
      </c>
      <c r="P67" s="57">
        <f t="shared" si="24"/>
        <v>4551.835409836066</v>
      </c>
      <c r="Q67" s="44">
        <f t="shared" si="24"/>
        <v>252.79999999999998</v>
      </c>
      <c r="R67" s="44">
        <f t="shared" si="24"/>
        <v>239.79999999999998</v>
      </c>
      <c r="S67" s="44">
        <f t="shared" si="24"/>
        <v>1155.2</v>
      </c>
      <c r="T67" s="44">
        <f t="shared" si="24"/>
        <v>4454.0000000000009</v>
      </c>
      <c r="U67" s="44">
        <f t="shared" si="24"/>
        <v>147.4</v>
      </c>
      <c r="V67" s="44">
        <f t="shared" si="3"/>
        <v>6249.2000000000007</v>
      </c>
    </row>
  </sheetData>
  <mergeCells count="6">
    <mergeCell ref="B1:V1"/>
    <mergeCell ref="B4:F4"/>
    <mergeCell ref="G10:K10"/>
    <mergeCell ref="L10:P10"/>
    <mergeCell ref="Q10:V10"/>
    <mergeCell ref="R4:T8"/>
  </mergeCells>
  <phoneticPr fontId="28" type="noConversion"/>
  <conditionalFormatting sqref="F9:F1048576 F2:F3">
    <cfRule type="dataBar" priority="6">
      <dataBar>
        <cfvo type="min"/>
        <cfvo type="max"/>
        <color rgb="FFFFB628"/>
      </dataBar>
      <extLst>
        <ext xmlns:x14="http://schemas.microsoft.com/office/spreadsheetml/2009/9/main" uri="{B025F937-C7B1-47D3-B67F-A62EFF666E3E}">
          <x14:id>{30C5416C-D3A1-4C55-8335-4BD12C244711}</x14:id>
        </ext>
      </extLst>
    </cfRule>
  </conditionalFormatting>
  <conditionalFormatting sqref="F29">
    <cfRule type="dataBar" priority="13">
      <dataBar>
        <cfvo type="min"/>
        <cfvo type="max"/>
        <color rgb="FFFFB628"/>
      </dataBar>
      <extLst>
        <ext xmlns:x14="http://schemas.microsoft.com/office/spreadsheetml/2009/9/main" uri="{B025F937-C7B1-47D3-B67F-A62EFF666E3E}">
          <x14:id>{854DB6B9-42F2-49BF-8E8C-F8D8C50EEAC6}</x14:id>
        </ext>
      </extLst>
    </cfRule>
  </conditionalFormatting>
  <conditionalFormatting sqref="F30:F36 F38:F43 F45:F50 F52:F58 F60:F66 F11:F28">
    <cfRule type="dataBar" priority="15">
      <dataBar>
        <cfvo type="min"/>
        <cfvo type="max"/>
        <color rgb="FFFFB628"/>
      </dataBar>
      <extLst>
        <ext xmlns:x14="http://schemas.microsoft.com/office/spreadsheetml/2009/9/main" uri="{B025F937-C7B1-47D3-B67F-A62EFF666E3E}">
          <x14:id>{6744DEB4-C5A9-4B2D-AF5E-6DBABC3639D9}</x14:id>
        </ext>
      </extLst>
    </cfRule>
  </conditionalFormatting>
  <conditionalFormatting sqref="F37">
    <cfRule type="dataBar" priority="12">
      <dataBar>
        <cfvo type="min"/>
        <cfvo type="max"/>
        <color rgb="FFFFB628"/>
      </dataBar>
      <extLst>
        <ext xmlns:x14="http://schemas.microsoft.com/office/spreadsheetml/2009/9/main" uri="{B025F937-C7B1-47D3-B67F-A62EFF666E3E}">
          <x14:id>{955B9217-0601-423D-A177-9DC86AEF8A31}</x14:id>
        </ext>
      </extLst>
    </cfRule>
  </conditionalFormatting>
  <conditionalFormatting sqref="F44">
    <cfRule type="dataBar" priority="11">
      <dataBar>
        <cfvo type="min"/>
        <cfvo type="max"/>
        <color rgb="FFFFB628"/>
      </dataBar>
      <extLst>
        <ext xmlns:x14="http://schemas.microsoft.com/office/spreadsheetml/2009/9/main" uri="{B025F937-C7B1-47D3-B67F-A62EFF666E3E}">
          <x14:id>{48F70A99-093C-4B63-B0DB-5F20746DFACF}</x14:id>
        </ext>
      </extLst>
    </cfRule>
  </conditionalFormatting>
  <conditionalFormatting sqref="F51">
    <cfRule type="dataBar" priority="10">
      <dataBar>
        <cfvo type="min"/>
        <cfvo type="max"/>
        <color rgb="FFFFB628"/>
      </dataBar>
      <extLst>
        <ext xmlns:x14="http://schemas.microsoft.com/office/spreadsheetml/2009/9/main" uri="{B025F937-C7B1-47D3-B67F-A62EFF666E3E}">
          <x14:id>{5901C386-45A9-4609-A1B2-E0796C5587C4}</x14:id>
        </ext>
      </extLst>
    </cfRule>
  </conditionalFormatting>
  <conditionalFormatting sqref="F59">
    <cfRule type="dataBar" priority="9">
      <dataBar>
        <cfvo type="min"/>
        <cfvo type="max"/>
        <color rgb="FFFFB628"/>
      </dataBar>
      <extLst>
        <ext xmlns:x14="http://schemas.microsoft.com/office/spreadsheetml/2009/9/main" uri="{B025F937-C7B1-47D3-B67F-A62EFF666E3E}">
          <x14:id>{27947D34-A674-4E4C-998A-F5B4F8B0F70C}</x14:id>
        </ext>
      </extLst>
    </cfRule>
  </conditionalFormatting>
  <conditionalFormatting sqref="F67">
    <cfRule type="dataBar" priority="8">
      <dataBar>
        <cfvo type="min"/>
        <cfvo type="max"/>
        <color rgb="FFFFB628"/>
      </dataBar>
      <extLst>
        <ext xmlns:x14="http://schemas.microsoft.com/office/spreadsheetml/2009/9/main" uri="{B025F937-C7B1-47D3-B67F-A62EFF666E3E}">
          <x14:id>{A792E3F6-7389-4301-A2D8-2A163C5DDB68}</x14:id>
        </ext>
      </extLst>
    </cfRule>
  </conditionalFormatting>
  <conditionalFormatting sqref="N4">
    <cfRule type="cellIs" dxfId="5" priority="5" operator="equal">
      <formula>0</formula>
    </cfRule>
  </conditionalFormatting>
  <conditionalFormatting sqref="Q6:Q8">
    <cfRule type="dataBar" priority="14">
      <dataBar>
        <cfvo type="min"/>
        <cfvo type="max"/>
        <color rgb="FF638EC6"/>
      </dataBar>
      <extLst>
        <ext xmlns:x14="http://schemas.microsoft.com/office/spreadsheetml/2009/9/main" uri="{B025F937-C7B1-47D3-B67F-A62EFF666E3E}">
          <x14:id>{AB94A2BD-B50C-44EF-B8DD-AB34C55FFDC0}</x14:id>
        </ext>
      </extLst>
    </cfRule>
  </conditionalFormatting>
  <conditionalFormatting sqref="Q11:S67">
    <cfRule type="cellIs" dxfId="4" priority="7" operator="equal">
      <formula>0</formula>
    </cfRule>
  </conditionalFormatting>
  <conditionalFormatting sqref="T13:V67">
    <cfRule type="cellIs" dxfId="3" priority="1" operator="equal">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30C5416C-D3A1-4C55-8335-4BD12C244711}">
            <x14:dataBar minLength="0" maxLength="100" gradient="0">
              <x14:cfvo type="autoMin"/>
              <x14:cfvo type="autoMax"/>
              <x14:negativeFillColor rgb="FFFF0000"/>
              <x14:axisColor rgb="FF000000"/>
            </x14:dataBar>
          </x14:cfRule>
          <xm:sqref>F9:F1048576 F2:F3</xm:sqref>
        </x14:conditionalFormatting>
        <x14:conditionalFormatting xmlns:xm="http://schemas.microsoft.com/office/excel/2006/main">
          <x14:cfRule type="dataBar" id="{854DB6B9-42F2-49BF-8E8C-F8D8C50EEAC6}">
            <x14:dataBar minLength="0" maxLength="100" gradient="0">
              <x14:cfvo type="autoMin"/>
              <x14:cfvo type="autoMax"/>
              <x14:negativeFillColor rgb="FFFF0000"/>
              <x14:axisColor rgb="FF000000"/>
            </x14:dataBar>
          </x14:cfRule>
          <xm:sqref>F29</xm:sqref>
        </x14:conditionalFormatting>
        <x14:conditionalFormatting xmlns:xm="http://schemas.microsoft.com/office/excel/2006/main">
          <x14:cfRule type="dataBar" id="{6744DEB4-C5A9-4B2D-AF5E-6DBABC3639D9}">
            <x14:dataBar minLength="0" maxLength="100" gradient="0">
              <x14:cfvo type="autoMin"/>
              <x14:cfvo type="autoMax"/>
              <x14:negativeFillColor rgb="FFFF0000"/>
              <x14:axisColor rgb="FF000000"/>
            </x14:dataBar>
          </x14:cfRule>
          <xm:sqref>F30:F36 F38:F43 F45:F50 F52:F58 F60:F66 F11:F28</xm:sqref>
        </x14:conditionalFormatting>
        <x14:conditionalFormatting xmlns:xm="http://schemas.microsoft.com/office/excel/2006/main">
          <x14:cfRule type="dataBar" id="{955B9217-0601-423D-A177-9DC86AEF8A31}">
            <x14:dataBar minLength="0" maxLength="100" gradient="0">
              <x14:cfvo type="autoMin"/>
              <x14:cfvo type="autoMax"/>
              <x14:negativeFillColor rgb="FFFF0000"/>
              <x14:axisColor rgb="FF000000"/>
            </x14:dataBar>
          </x14:cfRule>
          <xm:sqref>F37</xm:sqref>
        </x14:conditionalFormatting>
        <x14:conditionalFormatting xmlns:xm="http://schemas.microsoft.com/office/excel/2006/main">
          <x14:cfRule type="dataBar" id="{48F70A99-093C-4B63-B0DB-5F20746DFACF}">
            <x14:dataBar minLength="0" maxLength="100" gradient="0">
              <x14:cfvo type="autoMin"/>
              <x14:cfvo type="autoMax"/>
              <x14:negativeFillColor rgb="FFFF0000"/>
              <x14:axisColor rgb="FF000000"/>
            </x14:dataBar>
          </x14:cfRule>
          <xm:sqref>F44</xm:sqref>
        </x14:conditionalFormatting>
        <x14:conditionalFormatting xmlns:xm="http://schemas.microsoft.com/office/excel/2006/main">
          <x14:cfRule type="dataBar" id="{5901C386-45A9-4609-A1B2-E0796C5587C4}">
            <x14:dataBar minLength="0" maxLength="100" gradient="0">
              <x14:cfvo type="autoMin"/>
              <x14:cfvo type="autoMax"/>
              <x14:negativeFillColor rgb="FFFF0000"/>
              <x14:axisColor rgb="FF000000"/>
            </x14:dataBar>
          </x14:cfRule>
          <xm:sqref>F51</xm:sqref>
        </x14:conditionalFormatting>
        <x14:conditionalFormatting xmlns:xm="http://schemas.microsoft.com/office/excel/2006/main">
          <x14:cfRule type="dataBar" id="{27947D34-A674-4E4C-998A-F5B4F8B0F70C}">
            <x14:dataBar minLength="0" maxLength="100" gradient="0">
              <x14:cfvo type="autoMin"/>
              <x14:cfvo type="autoMax"/>
              <x14:negativeFillColor rgb="FFFF0000"/>
              <x14:axisColor rgb="FF000000"/>
            </x14:dataBar>
          </x14:cfRule>
          <xm:sqref>F59</xm:sqref>
        </x14:conditionalFormatting>
        <x14:conditionalFormatting xmlns:xm="http://schemas.microsoft.com/office/excel/2006/main">
          <x14:cfRule type="dataBar" id="{A792E3F6-7389-4301-A2D8-2A163C5DDB68}">
            <x14:dataBar minLength="0" maxLength="100" gradient="0">
              <x14:cfvo type="autoMin"/>
              <x14:cfvo type="autoMax"/>
              <x14:negativeFillColor rgb="FFFF0000"/>
              <x14:axisColor rgb="FF000000"/>
            </x14:dataBar>
          </x14:cfRule>
          <xm:sqref>F67</xm:sqref>
        </x14:conditionalFormatting>
        <x14:conditionalFormatting xmlns:xm="http://schemas.microsoft.com/office/excel/2006/main">
          <x14:cfRule type="iconSet" priority="16" id="{0332B6E5-5F58-48B1-A3F9-598938D3D249}">
            <x14:iconSet iconSet="3Triangles" showValue="0">
              <x14:cfvo type="percent">
                <xm:f>0</xm:f>
              </x14:cfvo>
              <x14:cfvo type="num">
                <xm:f>-0.1</xm:f>
              </x14:cfvo>
              <x14:cfvo type="num">
                <xm:f>0.1</xm:f>
              </x14:cfvo>
            </x14:iconSet>
          </x14:cfRule>
          <xm:sqref>J6:P6</xm:sqref>
        </x14:conditionalFormatting>
        <x14:conditionalFormatting xmlns:xm="http://schemas.microsoft.com/office/excel/2006/main">
          <x14:cfRule type="dataBar" id="{AB94A2BD-B50C-44EF-B8DD-AB34C55FFDC0}">
            <x14:dataBar minLength="0" maxLength="100" gradient="0">
              <x14:cfvo type="autoMin"/>
              <x14:cfvo type="autoMax"/>
              <x14:negativeFillColor rgb="FFFF0000"/>
              <x14:axisColor rgb="FF000000"/>
            </x14:dataBar>
          </x14:cfRule>
          <xm:sqref>Q6:Q8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50"/>
  <sheetViews>
    <sheetView workbookViewId="0">
      <selection activeCell="G44" sqref="G44"/>
    </sheetView>
  </sheetViews>
  <sheetFormatPr defaultColWidth="9.08984375" defaultRowHeight="22" customHeight="1" x14ac:dyDescent="0.25"/>
  <cols>
    <col min="1" max="2" width="9.36328125" style="69" customWidth="1"/>
    <col min="3" max="3" width="12.08984375" style="69" customWidth="1"/>
    <col min="4" max="5" width="17.90625" style="69" customWidth="1"/>
    <col min="6" max="6" width="20.6328125" style="69" customWidth="1"/>
    <col min="7" max="7" width="14.26953125" style="69" customWidth="1"/>
    <col min="8" max="8" width="23.36328125" style="69" customWidth="1"/>
    <col min="9" max="9" width="11.08984375" style="69" customWidth="1"/>
    <col min="10" max="10" width="17.36328125" style="70" customWidth="1"/>
    <col min="11" max="11" width="9.36328125" style="71" customWidth="1"/>
    <col min="12" max="12" width="15" style="71" customWidth="1"/>
    <col min="13" max="13" width="17.90625" style="71" customWidth="1"/>
    <col min="14" max="14" width="26.36328125" style="71" customWidth="1"/>
    <col min="15" max="15" width="9.08984375" style="71"/>
    <col min="16" max="16" width="9.90625" style="71" customWidth="1"/>
    <col min="17" max="17" width="14" style="71" customWidth="1"/>
    <col min="18" max="18" width="6.7265625" style="71" customWidth="1"/>
    <col min="19" max="19" width="12.08984375" style="71" customWidth="1"/>
    <col min="20" max="20" width="3.7265625" style="71" customWidth="1"/>
    <col min="21" max="21" width="23.36328125" style="71" customWidth="1"/>
    <col min="22" max="22" width="12.08984375" style="71" customWidth="1"/>
    <col min="23" max="23" width="9.08984375" style="71"/>
    <col min="24" max="24" width="8.08984375" style="71" customWidth="1"/>
    <col min="25" max="25" width="9.36328125" style="71" customWidth="1"/>
    <col min="26" max="26" width="20.6328125" style="71" customWidth="1"/>
    <col min="27" max="16384" width="9.08984375" style="71"/>
  </cols>
  <sheetData>
    <row r="1" spans="1:26" ht="40" x14ac:dyDescent="0.25">
      <c r="A1" s="72" t="s">
        <v>115</v>
      </c>
      <c r="B1" s="72" t="s">
        <v>4</v>
      </c>
      <c r="C1" s="72" t="s">
        <v>116</v>
      </c>
      <c r="D1" s="73" t="s">
        <v>117</v>
      </c>
      <c r="E1" s="73" t="s">
        <v>118</v>
      </c>
      <c r="F1" s="73" t="s">
        <v>119</v>
      </c>
      <c r="G1" s="73" t="s">
        <v>120</v>
      </c>
      <c r="H1" s="73" t="s">
        <v>121</v>
      </c>
      <c r="I1" s="72" t="s">
        <v>122</v>
      </c>
      <c r="J1" s="76"/>
      <c r="K1" s="71" t="s">
        <v>0</v>
      </c>
      <c r="L1" s="71" t="s">
        <v>123</v>
      </c>
      <c r="M1" s="77" t="s">
        <v>124</v>
      </c>
      <c r="N1" s="71" t="s">
        <v>125</v>
      </c>
      <c r="P1" s="78"/>
      <c r="Q1" s="78" t="s">
        <v>126</v>
      </c>
      <c r="R1" s="78" t="s">
        <v>127</v>
      </c>
      <c r="S1" s="79" t="s">
        <v>128</v>
      </c>
      <c r="U1" s="71" t="s">
        <v>129</v>
      </c>
      <c r="V1" s="71" t="s">
        <v>128</v>
      </c>
      <c r="Z1" s="77" t="s">
        <v>130</v>
      </c>
    </row>
    <row r="2" spans="1:26" ht="22" customHeight="1" x14ac:dyDescent="0.25">
      <c r="A2" s="69" t="s">
        <v>23</v>
      </c>
      <c r="B2" s="69" t="s">
        <v>24</v>
      </c>
      <c r="C2" s="74">
        <f>PRODUCT(D2:E2)</f>
        <v>0.72</v>
      </c>
      <c r="D2" s="74">
        <f>IF(G2&gt;=8,1+0.01*ROUNDDOWN((G2-8)/0.1,0),(1-0.005*ROUNDUP((8-G2)/0.1,0)))</f>
        <v>0.6</v>
      </c>
      <c r="E2" s="74">
        <f t="shared" ref="E2:E49" si="0">VLOOKUP(A2,P:S,4,0)</f>
        <v>1.2</v>
      </c>
      <c r="F2" s="74">
        <f t="shared" ref="F2:F49" si="1">VLOOKUP(B2,Y:Z,2,0)</f>
        <v>1.2</v>
      </c>
      <c r="G2" s="75">
        <f>H2*F2/I2</f>
        <v>0</v>
      </c>
      <c r="H2" s="69">
        <f>IFERROR(VLOOKUP(B2,#REF!,12,0),0)+IFERROR(VLOOKUP(B2,#REF!,9,0),0)</f>
        <v>0</v>
      </c>
      <c r="I2" s="69">
        <f t="shared" ref="I2:I49" si="2">VLOOKUP(B2,K:M,3,0)</f>
        <v>8</v>
      </c>
      <c r="K2" s="78" t="s">
        <v>55</v>
      </c>
      <c r="L2" s="71">
        <v>0</v>
      </c>
      <c r="M2" s="71">
        <f t="shared" ref="M2:M33" si="3">$N$2-L2*0.5</f>
        <v>8</v>
      </c>
      <c r="N2" s="71">
        <v>8</v>
      </c>
      <c r="P2" s="78" t="s">
        <v>7</v>
      </c>
      <c r="Q2" s="80">
        <f>SUMIF(A:A,P2,H:H)/$N$2/COUNTIF(A:A,P2)</f>
        <v>0</v>
      </c>
      <c r="R2" s="78">
        <f>RANK(Q2,Q$2:Q$8,0)</f>
        <v>1</v>
      </c>
      <c r="S2" s="78">
        <f>VLOOKUP(R2:R8,U:V,2,0)</f>
        <v>1.2</v>
      </c>
      <c r="U2" s="71">
        <v>1</v>
      </c>
      <c r="V2" s="71">
        <v>1.2</v>
      </c>
      <c r="X2" s="78" t="s">
        <v>7</v>
      </c>
      <c r="Y2" s="78" t="s">
        <v>55</v>
      </c>
      <c r="Z2" s="78">
        <v>1</v>
      </c>
    </row>
    <row r="3" spans="1:26" ht="22" customHeight="1" x14ac:dyDescent="0.25">
      <c r="A3" s="69" t="s">
        <v>31</v>
      </c>
      <c r="B3" s="69" t="s">
        <v>36</v>
      </c>
      <c r="C3" s="74">
        <f t="shared" ref="C3:C49" si="4">PRODUCT(D3:E3)</f>
        <v>0.72</v>
      </c>
      <c r="D3" s="74">
        <f t="shared" ref="D3:D49" si="5">IF(G3&gt;=8,1+0.01*ROUNDDOWN((G3-8)/0.1,0),(1-0.005*ROUNDUP((8-G3)/0.1,0)))</f>
        <v>0.6</v>
      </c>
      <c r="E3" s="74">
        <f t="shared" si="0"/>
        <v>1.2</v>
      </c>
      <c r="F3" s="74">
        <f t="shared" si="1"/>
        <v>1</v>
      </c>
      <c r="G3" s="75">
        <f t="shared" ref="G3:G49" si="6">H3*F3/I3</f>
        <v>0</v>
      </c>
      <c r="H3" s="69">
        <f>IFERROR(VLOOKUP(B3,#REF!,12,0),0)+IFERROR(VLOOKUP(B3,#REF!,9,0),0)</f>
        <v>0</v>
      </c>
      <c r="I3" s="69">
        <f t="shared" si="2"/>
        <v>8</v>
      </c>
      <c r="K3" s="78" t="s">
        <v>58</v>
      </c>
      <c r="L3" s="71">
        <v>0</v>
      </c>
      <c r="M3" s="71">
        <f t="shared" si="3"/>
        <v>8</v>
      </c>
      <c r="P3" s="78" t="s">
        <v>15</v>
      </c>
      <c r="Q3" s="80">
        <f t="shared" ref="Q3:Q8" si="7">SUMIF(A:A,P3,H:H)/$N$2/COUNTIF(A:A,P3)</f>
        <v>0</v>
      </c>
      <c r="R3" s="78">
        <f t="shared" ref="R3:R8" si="8">RANK(Q3,Q$2:Q$8,0)</f>
        <v>1</v>
      </c>
      <c r="S3" s="78">
        <f t="shared" ref="S3:S8" si="9">VLOOKUP(R3:R9,U:V,2,0)</f>
        <v>1.2</v>
      </c>
      <c r="U3" s="71">
        <v>2</v>
      </c>
      <c r="V3" s="71">
        <v>1.1000000000000001</v>
      </c>
      <c r="X3" s="78" t="s">
        <v>7</v>
      </c>
      <c r="Y3" s="78" t="s">
        <v>58</v>
      </c>
      <c r="Z3" s="78">
        <v>1</v>
      </c>
    </row>
    <row r="4" spans="1:26" ht="22" customHeight="1" x14ac:dyDescent="0.25">
      <c r="A4" s="69" t="s">
        <v>7</v>
      </c>
      <c r="B4" s="69" t="s">
        <v>55</v>
      </c>
      <c r="C4" s="74">
        <f t="shared" si="4"/>
        <v>0.72</v>
      </c>
      <c r="D4" s="74">
        <f t="shared" si="5"/>
        <v>0.6</v>
      </c>
      <c r="E4" s="74">
        <f t="shared" si="0"/>
        <v>1.2</v>
      </c>
      <c r="F4" s="74">
        <f t="shared" si="1"/>
        <v>1</v>
      </c>
      <c r="G4" s="75">
        <f t="shared" si="6"/>
        <v>0</v>
      </c>
      <c r="H4" s="69">
        <f>IFERROR(VLOOKUP(B4,#REF!,12,0),0)+IFERROR(VLOOKUP(B4,#REF!,9,0),0)</f>
        <v>0</v>
      </c>
      <c r="I4" s="69">
        <f t="shared" si="2"/>
        <v>8</v>
      </c>
      <c r="K4" s="78" t="s">
        <v>8</v>
      </c>
      <c r="L4" s="71">
        <v>0.5</v>
      </c>
      <c r="M4" s="71">
        <f t="shared" si="3"/>
        <v>7.75</v>
      </c>
      <c r="P4" s="78" t="s">
        <v>23</v>
      </c>
      <c r="Q4" s="80">
        <f t="shared" si="7"/>
        <v>0</v>
      </c>
      <c r="R4" s="78">
        <f t="shared" si="8"/>
        <v>1</v>
      </c>
      <c r="S4" s="78">
        <f t="shared" si="9"/>
        <v>1.2</v>
      </c>
      <c r="U4" s="71">
        <v>3</v>
      </c>
      <c r="V4" s="71">
        <v>1.05</v>
      </c>
      <c r="X4" s="78" t="s">
        <v>7</v>
      </c>
      <c r="Y4" s="78" t="s">
        <v>8</v>
      </c>
      <c r="Z4" s="78">
        <v>1.2</v>
      </c>
    </row>
    <row r="5" spans="1:26" ht="22" customHeight="1" x14ac:dyDescent="0.25">
      <c r="A5" s="69" t="s">
        <v>23</v>
      </c>
      <c r="B5" s="69" t="s">
        <v>26</v>
      </c>
      <c r="C5" s="74">
        <f t="shared" si="4"/>
        <v>0.72</v>
      </c>
      <c r="D5" s="74">
        <f t="shared" si="5"/>
        <v>0.6</v>
      </c>
      <c r="E5" s="74">
        <f t="shared" si="0"/>
        <v>1.2</v>
      </c>
      <c r="F5" s="74">
        <f t="shared" si="1"/>
        <v>1</v>
      </c>
      <c r="G5" s="75">
        <f t="shared" si="6"/>
        <v>0</v>
      </c>
      <c r="H5" s="69">
        <f>IFERROR(VLOOKUP(B5,#REF!,12,0),0)+IFERROR(VLOOKUP(B5,#REF!,9,0),0)</f>
        <v>0</v>
      </c>
      <c r="I5" s="69">
        <f t="shared" si="2"/>
        <v>8</v>
      </c>
      <c r="K5" s="78" t="s">
        <v>40</v>
      </c>
      <c r="L5" s="71">
        <v>0</v>
      </c>
      <c r="M5" s="71">
        <f t="shared" si="3"/>
        <v>8</v>
      </c>
      <c r="P5" s="78" t="s">
        <v>31</v>
      </c>
      <c r="Q5" s="80">
        <f t="shared" si="7"/>
        <v>0</v>
      </c>
      <c r="R5" s="78">
        <f t="shared" si="8"/>
        <v>1</v>
      </c>
      <c r="S5" s="78">
        <f t="shared" si="9"/>
        <v>1.2</v>
      </c>
      <c r="U5" s="71">
        <v>4</v>
      </c>
      <c r="V5" s="71">
        <v>1</v>
      </c>
      <c r="X5" s="78" t="s">
        <v>7</v>
      </c>
      <c r="Y5" s="78" t="s">
        <v>40</v>
      </c>
      <c r="Z5" s="78">
        <v>1</v>
      </c>
    </row>
    <row r="6" spans="1:26" ht="22" customHeight="1" x14ac:dyDescent="0.25">
      <c r="A6" s="69" t="s">
        <v>23</v>
      </c>
      <c r="B6" s="69" t="s">
        <v>57</v>
      </c>
      <c r="C6" s="74">
        <f t="shared" si="4"/>
        <v>0.72</v>
      </c>
      <c r="D6" s="74">
        <f t="shared" si="5"/>
        <v>0.6</v>
      </c>
      <c r="E6" s="74">
        <f t="shared" si="0"/>
        <v>1.2</v>
      </c>
      <c r="F6" s="74">
        <f t="shared" si="1"/>
        <v>1.2</v>
      </c>
      <c r="G6" s="75">
        <f t="shared" si="6"/>
        <v>0</v>
      </c>
      <c r="H6" s="69">
        <f>IFERROR(VLOOKUP(B6,#REF!,12,0),0)+IFERROR(VLOOKUP(B6,#REF!,9,0),0)</f>
        <v>0</v>
      </c>
      <c r="I6" s="69">
        <f t="shared" si="2"/>
        <v>8</v>
      </c>
      <c r="K6" s="78" t="s">
        <v>11</v>
      </c>
      <c r="L6" s="71">
        <v>1</v>
      </c>
      <c r="M6" s="71">
        <f t="shared" si="3"/>
        <v>7.5</v>
      </c>
      <c r="P6" s="78" t="s">
        <v>38</v>
      </c>
      <c r="Q6" s="80">
        <f t="shared" si="7"/>
        <v>0</v>
      </c>
      <c r="R6" s="78">
        <f t="shared" si="8"/>
        <v>1</v>
      </c>
      <c r="S6" s="78">
        <f t="shared" si="9"/>
        <v>1.2</v>
      </c>
      <c r="U6" s="71">
        <v>5</v>
      </c>
      <c r="V6" s="71">
        <v>0.97</v>
      </c>
      <c r="X6" s="78" t="s">
        <v>7</v>
      </c>
      <c r="Y6" s="78" t="s">
        <v>11</v>
      </c>
      <c r="Z6" s="78">
        <v>1</v>
      </c>
    </row>
    <row r="7" spans="1:26" ht="22" customHeight="1" x14ac:dyDescent="0.25">
      <c r="A7" s="69" t="s">
        <v>53</v>
      </c>
      <c r="B7" s="69" t="s">
        <v>19</v>
      </c>
      <c r="C7" s="74">
        <f t="shared" si="4"/>
        <v>0.72</v>
      </c>
      <c r="D7" s="74">
        <f t="shared" si="5"/>
        <v>0.6</v>
      </c>
      <c r="E7" s="74">
        <f t="shared" si="0"/>
        <v>1.2</v>
      </c>
      <c r="F7" s="74">
        <f t="shared" si="1"/>
        <v>1.2</v>
      </c>
      <c r="G7" s="75">
        <f t="shared" si="6"/>
        <v>0</v>
      </c>
      <c r="H7" s="69">
        <f>IFERROR(VLOOKUP(B7,#REF!,12,0),0)+IFERROR(VLOOKUP(B7,#REF!,9,0),0)</f>
        <v>0</v>
      </c>
      <c r="I7" s="69">
        <f t="shared" si="2"/>
        <v>8</v>
      </c>
      <c r="K7" s="78" t="s">
        <v>80</v>
      </c>
      <c r="L7" s="71">
        <v>0</v>
      </c>
      <c r="M7" s="71">
        <f t="shared" si="3"/>
        <v>8</v>
      </c>
      <c r="P7" s="78" t="s">
        <v>45</v>
      </c>
      <c r="Q7" s="80">
        <f t="shared" si="7"/>
        <v>0</v>
      </c>
      <c r="R7" s="78">
        <f t="shared" si="8"/>
        <v>1</v>
      </c>
      <c r="S7" s="78">
        <f t="shared" si="9"/>
        <v>1.2</v>
      </c>
      <c r="U7" s="71">
        <v>6</v>
      </c>
      <c r="V7" s="71">
        <v>0.94</v>
      </c>
      <c r="X7" s="78" t="s">
        <v>7</v>
      </c>
      <c r="Y7" s="78" t="s">
        <v>80</v>
      </c>
      <c r="Z7" s="78">
        <v>1</v>
      </c>
    </row>
    <row r="8" spans="1:26" ht="22" customHeight="1" x14ac:dyDescent="0.25">
      <c r="A8" s="69" t="s">
        <v>23</v>
      </c>
      <c r="B8" s="69" t="s">
        <v>65</v>
      </c>
      <c r="C8" s="74">
        <f t="shared" si="4"/>
        <v>0.72</v>
      </c>
      <c r="D8" s="74">
        <f t="shared" si="5"/>
        <v>0.6</v>
      </c>
      <c r="E8" s="74">
        <f t="shared" si="0"/>
        <v>1.2</v>
      </c>
      <c r="F8" s="74">
        <f t="shared" si="1"/>
        <v>1</v>
      </c>
      <c r="G8" s="75">
        <f t="shared" si="6"/>
        <v>0</v>
      </c>
      <c r="H8" s="69">
        <f>IFERROR(VLOOKUP(B8,#REF!,12,0),0)+IFERROR(VLOOKUP(B8,#REF!,9,0),0)</f>
        <v>0</v>
      </c>
      <c r="I8" s="69">
        <f t="shared" si="2"/>
        <v>7.75</v>
      </c>
      <c r="K8" s="78" t="s">
        <v>81</v>
      </c>
      <c r="L8" s="71">
        <v>0</v>
      </c>
      <c r="M8" s="71">
        <f t="shared" si="3"/>
        <v>8</v>
      </c>
      <c r="P8" s="78" t="s">
        <v>53</v>
      </c>
      <c r="Q8" s="80">
        <f t="shared" si="7"/>
        <v>0</v>
      </c>
      <c r="R8" s="78">
        <f t="shared" si="8"/>
        <v>1</v>
      </c>
      <c r="S8" s="78">
        <f t="shared" si="9"/>
        <v>1.2</v>
      </c>
      <c r="U8" s="71">
        <v>7</v>
      </c>
      <c r="V8" s="71">
        <v>0.9</v>
      </c>
      <c r="X8" s="78" t="s">
        <v>7</v>
      </c>
      <c r="Y8" s="78" t="s">
        <v>81</v>
      </c>
      <c r="Z8" s="78">
        <v>1</v>
      </c>
    </row>
    <row r="9" spans="1:26" ht="22" customHeight="1" x14ac:dyDescent="0.25">
      <c r="A9" s="69" t="s">
        <v>15</v>
      </c>
      <c r="B9" s="69" t="s">
        <v>16</v>
      </c>
      <c r="C9" s="74">
        <f t="shared" si="4"/>
        <v>0.72</v>
      </c>
      <c r="D9" s="74">
        <f t="shared" si="5"/>
        <v>0.6</v>
      </c>
      <c r="E9" s="74">
        <f t="shared" si="0"/>
        <v>1.2</v>
      </c>
      <c r="F9" s="74">
        <f t="shared" si="1"/>
        <v>1.2</v>
      </c>
      <c r="G9" s="75">
        <f t="shared" si="6"/>
        <v>0</v>
      </c>
      <c r="H9" s="69">
        <f>IFERROR(VLOOKUP(B9,#REF!,12,0),0)+IFERROR(VLOOKUP(B9,#REF!,9,0),0)</f>
        <v>0</v>
      </c>
      <c r="I9" s="69">
        <f t="shared" si="2"/>
        <v>8</v>
      </c>
      <c r="K9" s="78" t="s">
        <v>61</v>
      </c>
      <c r="L9" s="71">
        <v>1</v>
      </c>
      <c r="M9" s="71">
        <f t="shared" si="3"/>
        <v>7.5</v>
      </c>
      <c r="X9" s="78" t="s">
        <v>7</v>
      </c>
      <c r="Y9" s="78" t="s">
        <v>61</v>
      </c>
      <c r="Z9" s="78">
        <v>1</v>
      </c>
    </row>
    <row r="10" spans="1:26" ht="22" customHeight="1" x14ac:dyDescent="0.25">
      <c r="A10" s="69" t="s">
        <v>53</v>
      </c>
      <c r="B10" s="69" t="s">
        <v>42</v>
      </c>
      <c r="C10" s="74">
        <f t="shared" si="4"/>
        <v>0.72</v>
      </c>
      <c r="D10" s="74">
        <f t="shared" si="5"/>
        <v>0.6</v>
      </c>
      <c r="E10" s="74">
        <f t="shared" si="0"/>
        <v>1.2</v>
      </c>
      <c r="F10" s="74">
        <f t="shared" si="1"/>
        <v>1</v>
      </c>
      <c r="G10" s="75">
        <f t="shared" si="6"/>
        <v>0</v>
      </c>
      <c r="H10" s="69">
        <f>IFERROR(VLOOKUP(B10,#REF!,12,0),0)+IFERROR(VLOOKUP(B10,#REF!,9,0),0)</f>
        <v>0</v>
      </c>
      <c r="I10" s="69">
        <f t="shared" si="2"/>
        <v>8</v>
      </c>
      <c r="K10" s="78" t="s">
        <v>48</v>
      </c>
      <c r="L10" s="71">
        <v>0</v>
      </c>
      <c r="M10" s="71">
        <f t="shared" si="3"/>
        <v>8</v>
      </c>
      <c r="X10" s="78" t="s">
        <v>15</v>
      </c>
      <c r="Y10" s="78" t="s">
        <v>48</v>
      </c>
      <c r="Z10" s="78">
        <v>1.2</v>
      </c>
    </row>
    <row r="11" spans="1:26" ht="22" customHeight="1" x14ac:dyDescent="0.25">
      <c r="A11" s="69" t="s">
        <v>15</v>
      </c>
      <c r="B11" s="69" t="s">
        <v>71</v>
      </c>
      <c r="C11" s="74">
        <f t="shared" si="4"/>
        <v>0.72</v>
      </c>
      <c r="D11" s="74">
        <f t="shared" si="5"/>
        <v>0.6</v>
      </c>
      <c r="E11" s="74">
        <f t="shared" si="0"/>
        <v>1.2</v>
      </c>
      <c r="F11" s="74">
        <f t="shared" si="1"/>
        <v>1.2</v>
      </c>
      <c r="G11" s="75">
        <f t="shared" si="6"/>
        <v>0</v>
      </c>
      <c r="H11" s="69">
        <f>IFERROR(VLOOKUP(B11,#REF!,12,0),0)+IFERROR(VLOOKUP(B11,#REF!,9,0),0)</f>
        <v>0</v>
      </c>
      <c r="I11" s="69">
        <f t="shared" si="2"/>
        <v>8</v>
      </c>
      <c r="K11" s="78" t="s">
        <v>16</v>
      </c>
      <c r="L11" s="71">
        <v>0</v>
      </c>
      <c r="M11" s="71">
        <f t="shared" si="3"/>
        <v>8</v>
      </c>
      <c r="X11" s="78" t="s">
        <v>15</v>
      </c>
      <c r="Y11" s="78" t="s">
        <v>16</v>
      </c>
      <c r="Z11" s="78">
        <v>1.2</v>
      </c>
    </row>
    <row r="12" spans="1:26" ht="22" customHeight="1" x14ac:dyDescent="0.25">
      <c r="A12" s="69" t="s">
        <v>38</v>
      </c>
      <c r="B12" s="69" t="s">
        <v>39</v>
      </c>
      <c r="C12" s="74">
        <f t="shared" si="4"/>
        <v>0.72</v>
      </c>
      <c r="D12" s="74">
        <f t="shared" si="5"/>
        <v>0.6</v>
      </c>
      <c r="E12" s="74">
        <f t="shared" si="0"/>
        <v>1.2</v>
      </c>
      <c r="F12" s="74">
        <f t="shared" si="1"/>
        <v>1.2</v>
      </c>
      <c r="G12" s="75">
        <f t="shared" si="6"/>
        <v>0</v>
      </c>
      <c r="H12" s="69">
        <f>IFERROR(VLOOKUP(B12,#REF!,12,0),0)+IFERROR(VLOOKUP(B12,#REF!,9,0),0)</f>
        <v>0</v>
      </c>
      <c r="I12" s="69">
        <f t="shared" si="2"/>
        <v>8</v>
      </c>
      <c r="K12" s="78" t="s">
        <v>50</v>
      </c>
      <c r="L12" s="71">
        <v>0</v>
      </c>
      <c r="M12" s="71">
        <f t="shared" si="3"/>
        <v>8</v>
      </c>
      <c r="X12" s="78" t="s">
        <v>15</v>
      </c>
      <c r="Y12" s="78" t="s">
        <v>50</v>
      </c>
      <c r="Z12" s="78">
        <v>1.2</v>
      </c>
    </row>
    <row r="13" spans="1:26" ht="22" customHeight="1" x14ac:dyDescent="0.25">
      <c r="A13" s="69" t="s">
        <v>15</v>
      </c>
      <c r="B13" s="69" t="s">
        <v>50</v>
      </c>
      <c r="C13" s="74">
        <f t="shared" si="4"/>
        <v>0.72</v>
      </c>
      <c r="D13" s="74">
        <f t="shared" si="5"/>
        <v>0.6</v>
      </c>
      <c r="E13" s="74">
        <f t="shared" si="0"/>
        <v>1.2</v>
      </c>
      <c r="F13" s="74">
        <f t="shared" si="1"/>
        <v>1.2</v>
      </c>
      <c r="G13" s="75">
        <f t="shared" si="6"/>
        <v>0</v>
      </c>
      <c r="H13" s="69">
        <f>IFERROR(VLOOKUP(B13,#REF!,12,0),0)+IFERROR(VLOOKUP(B13,#REF!,9,0),0)</f>
        <v>0</v>
      </c>
      <c r="I13" s="69">
        <f t="shared" si="2"/>
        <v>8</v>
      </c>
      <c r="K13" s="78" t="s">
        <v>131</v>
      </c>
      <c r="L13" s="71">
        <v>0</v>
      </c>
      <c r="M13" s="71">
        <f t="shared" si="3"/>
        <v>8</v>
      </c>
      <c r="X13" s="78" t="s">
        <v>15</v>
      </c>
      <c r="Y13" s="78" t="s">
        <v>131</v>
      </c>
      <c r="Z13" s="78">
        <v>1</v>
      </c>
    </row>
    <row r="14" spans="1:26" ht="22" customHeight="1" x14ac:dyDescent="0.25">
      <c r="A14" s="69" t="s">
        <v>15</v>
      </c>
      <c r="B14" s="69" t="s">
        <v>48</v>
      </c>
      <c r="C14" s="74">
        <f t="shared" si="4"/>
        <v>0.72</v>
      </c>
      <c r="D14" s="74">
        <f t="shared" si="5"/>
        <v>0.6</v>
      </c>
      <c r="E14" s="74">
        <f t="shared" si="0"/>
        <v>1.2</v>
      </c>
      <c r="F14" s="74">
        <f t="shared" si="1"/>
        <v>1.2</v>
      </c>
      <c r="G14" s="75">
        <f t="shared" si="6"/>
        <v>0</v>
      </c>
      <c r="H14" s="69">
        <f>IFERROR(VLOOKUP(B14,#REF!,12,0),0)+IFERROR(VLOOKUP(B14,#REF!,9,0),0)</f>
        <v>0</v>
      </c>
      <c r="I14" s="69">
        <f t="shared" si="2"/>
        <v>8</v>
      </c>
      <c r="K14" s="78" t="s">
        <v>63</v>
      </c>
      <c r="L14" s="71">
        <v>0</v>
      </c>
      <c r="M14" s="71">
        <f t="shared" si="3"/>
        <v>8</v>
      </c>
      <c r="X14" s="78" t="s">
        <v>15</v>
      </c>
      <c r="Y14" s="78" t="s">
        <v>63</v>
      </c>
      <c r="Z14" s="78">
        <v>1</v>
      </c>
    </row>
    <row r="15" spans="1:26" ht="22" customHeight="1" x14ac:dyDescent="0.25">
      <c r="A15" s="69" t="s">
        <v>31</v>
      </c>
      <c r="B15" s="69" t="s">
        <v>32</v>
      </c>
      <c r="C15" s="74">
        <f t="shared" si="4"/>
        <v>0.72</v>
      </c>
      <c r="D15" s="74">
        <f t="shared" si="5"/>
        <v>0.6</v>
      </c>
      <c r="E15" s="74">
        <f t="shared" si="0"/>
        <v>1.2</v>
      </c>
      <c r="F15" s="74">
        <f t="shared" si="1"/>
        <v>1</v>
      </c>
      <c r="G15" s="75">
        <f t="shared" si="6"/>
        <v>0</v>
      </c>
      <c r="H15" s="69">
        <f>IFERROR(VLOOKUP(B15,#REF!,12,0),0)+IFERROR(VLOOKUP(B15,#REF!,9,0),0)</f>
        <v>0</v>
      </c>
      <c r="I15" s="69">
        <f t="shared" si="2"/>
        <v>8</v>
      </c>
      <c r="K15" s="78" t="s">
        <v>62</v>
      </c>
      <c r="L15" s="71">
        <v>0</v>
      </c>
      <c r="M15" s="71">
        <f t="shared" si="3"/>
        <v>8</v>
      </c>
      <c r="X15" s="78" t="s">
        <v>15</v>
      </c>
      <c r="Y15" s="78" t="s">
        <v>62</v>
      </c>
      <c r="Z15" s="78">
        <v>1.2</v>
      </c>
    </row>
    <row r="16" spans="1:26" ht="22" customHeight="1" x14ac:dyDescent="0.25">
      <c r="A16" s="69" t="s">
        <v>53</v>
      </c>
      <c r="B16" s="69" t="s">
        <v>69</v>
      </c>
      <c r="C16" s="74">
        <f t="shared" si="4"/>
        <v>0.72</v>
      </c>
      <c r="D16" s="74">
        <f t="shared" si="5"/>
        <v>0.6</v>
      </c>
      <c r="E16" s="74">
        <f t="shared" si="0"/>
        <v>1.2</v>
      </c>
      <c r="F16" s="74">
        <f t="shared" si="1"/>
        <v>1.2</v>
      </c>
      <c r="G16" s="75">
        <f t="shared" si="6"/>
        <v>0</v>
      </c>
      <c r="H16" s="69">
        <f>IFERROR(VLOOKUP(B16,#REF!,12,0),0)+IFERROR(VLOOKUP(B16,#REF!,9,0),0)</f>
        <v>0</v>
      </c>
      <c r="I16" s="69">
        <f t="shared" si="2"/>
        <v>8</v>
      </c>
      <c r="K16" s="78" t="s">
        <v>71</v>
      </c>
      <c r="L16" s="71">
        <v>0</v>
      </c>
      <c r="M16" s="71">
        <f t="shared" si="3"/>
        <v>8</v>
      </c>
      <c r="X16" s="78" t="s">
        <v>15</v>
      </c>
      <c r="Y16" s="78" t="s">
        <v>71</v>
      </c>
      <c r="Z16" s="78">
        <v>1.2</v>
      </c>
    </row>
    <row r="17" spans="1:26" ht="22" customHeight="1" x14ac:dyDescent="0.25">
      <c r="A17" s="69" t="s">
        <v>23</v>
      </c>
      <c r="B17" s="69" t="s">
        <v>21</v>
      </c>
      <c r="C17" s="74">
        <f t="shared" si="4"/>
        <v>0.72</v>
      </c>
      <c r="D17" s="74">
        <f t="shared" si="5"/>
        <v>0.6</v>
      </c>
      <c r="E17" s="74">
        <f t="shared" si="0"/>
        <v>1.2</v>
      </c>
      <c r="F17" s="74">
        <f t="shared" si="1"/>
        <v>1.2</v>
      </c>
      <c r="G17" s="75">
        <f t="shared" si="6"/>
        <v>0</v>
      </c>
      <c r="H17" s="69">
        <f>IFERROR(VLOOKUP(B17,#REF!,12,0),0)+IFERROR(VLOOKUP(B17,#REF!,9,0),0)</f>
        <v>0</v>
      </c>
      <c r="I17" s="69">
        <f t="shared" si="2"/>
        <v>7.75</v>
      </c>
      <c r="K17" s="78" t="s">
        <v>18</v>
      </c>
      <c r="L17" s="71">
        <v>0</v>
      </c>
      <c r="M17" s="71">
        <f t="shared" si="3"/>
        <v>8</v>
      </c>
      <c r="X17" s="78" t="s">
        <v>15</v>
      </c>
      <c r="Y17" s="78" t="s">
        <v>18</v>
      </c>
      <c r="Z17" s="78">
        <v>1</v>
      </c>
    </row>
    <row r="18" spans="1:26" ht="22" customHeight="1" x14ac:dyDescent="0.25">
      <c r="A18" s="69" t="s">
        <v>7</v>
      </c>
      <c r="B18" s="69" t="s">
        <v>8</v>
      </c>
      <c r="C18" s="74">
        <f t="shared" si="4"/>
        <v>0.72</v>
      </c>
      <c r="D18" s="74">
        <f t="shared" si="5"/>
        <v>0.6</v>
      </c>
      <c r="E18" s="74">
        <f t="shared" si="0"/>
        <v>1.2</v>
      </c>
      <c r="F18" s="74">
        <f t="shared" si="1"/>
        <v>1.2</v>
      </c>
      <c r="G18" s="75">
        <f t="shared" si="6"/>
        <v>0</v>
      </c>
      <c r="H18" s="69">
        <f>IFERROR(VLOOKUP(B18,#REF!,12,0),0)+IFERROR(VLOOKUP(B18,#REF!,9,0),0)</f>
        <v>0</v>
      </c>
      <c r="I18" s="69">
        <f t="shared" si="2"/>
        <v>7.75</v>
      </c>
      <c r="K18" s="78" t="s">
        <v>25</v>
      </c>
      <c r="L18" s="71">
        <v>0</v>
      </c>
      <c r="M18" s="71">
        <f t="shared" si="3"/>
        <v>8</v>
      </c>
      <c r="X18" s="78" t="s">
        <v>23</v>
      </c>
      <c r="Y18" s="78" t="s">
        <v>25</v>
      </c>
      <c r="Z18" s="78">
        <v>1</v>
      </c>
    </row>
    <row r="19" spans="1:26" ht="22" customHeight="1" x14ac:dyDescent="0.25">
      <c r="A19" s="69" t="s">
        <v>53</v>
      </c>
      <c r="B19" s="69" t="s">
        <v>12</v>
      </c>
      <c r="C19" s="74">
        <f t="shared" si="4"/>
        <v>0.72</v>
      </c>
      <c r="D19" s="74">
        <f t="shared" si="5"/>
        <v>0.6</v>
      </c>
      <c r="E19" s="74">
        <f t="shared" si="0"/>
        <v>1.2</v>
      </c>
      <c r="F19" s="74">
        <f t="shared" si="1"/>
        <v>1</v>
      </c>
      <c r="G19" s="75">
        <f t="shared" si="6"/>
        <v>0</v>
      </c>
      <c r="H19" s="69">
        <f>IFERROR(VLOOKUP(B19,#REF!,12,0),0)+IFERROR(VLOOKUP(B19,#REF!,9,0),0)</f>
        <v>0</v>
      </c>
      <c r="I19" s="69">
        <f t="shared" si="2"/>
        <v>8</v>
      </c>
      <c r="K19" s="78" t="s">
        <v>65</v>
      </c>
      <c r="L19" s="71">
        <v>0.5</v>
      </c>
      <c r="M19" s="71">
        <f t="shared" si="3"/>
        <v>7.75</v>
      </c>
      <c r="X19" s="78" t="s">
        <v>23</v>
      </c>
      <c r="Y19" s="78" t="s">
        <v>65</v>
      </c>
      <c r="Z19" s="78">
        <v>1</v>
      </c>
    </row>
    <row r="20" spans="1:26" ht="22" customHeight="1" x14ac:dyDescent="0.25">
      <c r="A20" s="69" t="s">
        <v>31</v>
      </c>
      <c r="B20" s="69" t="s">
        <v>35</v>
      </c>
      <c r="C20" s="74">
        <f t="shared" si="4"/>
        <v>0.72</v>
      </c>
      <c r="D20" s="74">
        <f t="shared" si="5"/>
        <v>0.6</v>
      </c>
      <c r="E20" s="74">
        <f t="shared" si="0"/>
        <v>1.2</v>
      </c>
      <c r="F20" s="74">
        <f t="shared" si="1"/>
        <v>1</v>
      </c>
      <c r="G20" s="75">
        <f t="shared" si="6"/>
        <v>0</v>
      </c>
      <c r="H20" s="69">
        <f>IFERROR(VLOOKUP(B20,#REF!,12,0),0)+IFERROR(VLOOKUP(B20,#REF!,9,0),0)</f>
        <v>0</v>
      </c>
      <c r="I20" s="69">
        <f t="shared" si="2"/>
        <v>8</v>
      </c>
      <c r="K20" s="78" t="s">
        <v>17</v>
      </c>
      <c r="L20" s="71">
        <v>0</v>
      </c>
      <c r="M20" s="71">
        <f t="shared" si="3"/>
        <v>8</v>
      </c>
      <c r="X20" s="78" t="s">
        <v>23</v>
      </c>
      <c r="Y20" s="78" t="s">
        <v>17</v>
      </c>
      <c r="Z20" s="78">
        <v>1</v>
      </c>
    </row>
    <row r="21" spans="1:26" ht="22" customHeight="1" x14ac:dyDescent="0.25">
      <c r="A21" s="69" t="s">
        <v>53</v>
      </c>
      <c r="B21" s="69" t="s">
        <v>59</v>
      </c>
      <c r="C21" s="74">
        <f t="shared" si="4"/>
        <v>0.72</v>
      </c>
      <c r="D21" s="74">
        <f t="shared" si="5"/>
        <v>0.6</v>
      </c>
      <c r="E21" s="74">
        <f t="shared" si="0"/>
        <v>1.2</v>
      </c>
      <c r="F21" s="74">
        <f t="shared" si="1"/>
        <v>1</v>
      </c>
      <c r="G21" s="75">
        <f t="shared" si="6"/>
        <v>0</v>
      </c>
      <c r="H21" s="69">
        <f>IFERROR(VLOOKUP(B21,#REF!,12,0),0)+IFERROR(VLOOKUP(B21,#REF!,9,0),0)</f>
        <v>0</v>
      </c>
      <c r="I21" s="69">
        <f t="shared" si="2"/>
        <v>8</v>
      </c>
      <c r="K21" s="78" t="s">
        <v>21</v>
      </c>
      <c r="L21" s="71">
        <v>0.5</v>
      </c>
      <c r="M21" s="71">
        <f t="shared" si="3"/>
        <v>7.75</v>
      </c>
      <c r="X21" s="78" t="s">
        <v>23</v>
      </c>
      <c r="Y21" s="78" t="s">
        <v>21</v>
      </c>
      <c r="Z21" s="78">
        <v>1.2</v>
      </c>
    </row>
    <row r="22" spans="1:26" ht="22" customHeight="1" x14ac:dyDescent="0.25">
      <c r="A22" s="69" t="s">
        <v>31</v>
      </c>
      <c r="B22" s="69" t="s">
        <v>33</v>
      </c>
      <c r="C22" s="74">
        <f t="shared" si="4"/>
        <v>0.72</v>
      </c>
      <c r="D22" s="74">
        <f t="shared" si="5"/>
        <v>0.6</v>
      </c>
      <c r="E22" s="74">
        <f t="shared" si="0"/>
        <v>1.2</v>
      </c>
      <c r="F22" s="74">
        <f t="shared" si="1"/>
        <v>1</v>
      </c>
      <c r="G22" s="75">
        <f t="shared" si="6"/>
        <v>0</v>
      </c>
      <c r="H22" s="69">
        <f>IFERROR(VLOOKUP(B22,#REF!,12,0),0)+IFERROR(VLOOKUP(B22,#REF!,9,0),0)</f>
        <v>0</v>
      </c>
      <c r="I22" s="69">
        <f t="shared" si="2"/>
        <v>8</v>
      </c>
      <c r="K22" s="78" t="s">
        <v>26</v>
      </c>
      <c r="L22" s="71">
        <v>0</v>
      </c>
      <c r="M22" s="71">
        <f t="shared" si="3"/>
        <v>8</v>
      </c>
      <c r="X22" s="78" t="s">
        <v>23</v>
      </c>
      <c r="Y22" s="78" t="s">
        <v>26</v>
      </c>
      <c r="Z22" s="78">
        <v>1</v>
      </c>
    </row>
    <row r="23" spans="1:26" ht="22" customHeight="1" x14ac:dyDescent="0.25">
      <c r="A23" s="69" t="s">
        <v>45</v>
      </c>
      <c r="B23" s="69" t="s">
        <v>22</v>
      </c>
      <c r="C23" s="74">
        <f t="shared" si="4"/>
        <v>0.72</v>
      </c>
      <c r="D23" s="74">
        <f t="shared" si="5"/>
        <v>0.6</v>
      </c>
      <c r="E23" s="74">
        <f t="shared" si="0"/>
        <v>1.2</v>
      </c>
      <c r="F23" s="74">
        <f t="shared" si="1"/>
        <v>1</v>
      </c>
      <c r="G23" s="75">
        <f t="shared" si="6"/>
        <v>0</v>
      </c>
      <c r="H23" s="69">
        <f>IFERROR(VLOOKUP(B23,#REF!,12,0),0)+IFERROR(VLOOKUP(B23,#REF!,9,0),0)</f>
        <v>0</v>
      </c>
      <c r="I23" s="69">
        <f t="shared" si="2"/>
        <v>8</v>
      </c>
      <c r="K23" s="78" t="s">
        <v>57</v>
      </c>
      <c r="L23" s="71">
        <v>0</v>
      </c>
      <c r="M23" s="71">
        <f t="shared" si="3"/>
        <v>8</v>
      </c>
      <c r="X23" s="78" t="s">
        <v>23</v>
      </c>
      <c r="Y23" s="78" t="s">
        <v>57</v>
      </c>
      <c r="Z23" s="78">
        <v>1.2</v>
      </c>
    </row>
    <row r="24" spans="1:26" ht="22" customHeight="1" x14ac:dyDescent="0.25">
      <c r="A24" s="69" t="s">
        <v>15</v>
      </c>
      <c r="B24" s="69" t="s">
        <v>18</v>
      </c>
      <c r="C24" s="74">
        <f t="shared" si="4"/>
        <v>0.72</v>
      </c>
      <c r="D24" s="74">
        <f t="shared" si="5"/>
        <v>0.6</v>
      </c>
      <c r="E24" s="74">
        <f t="shared" si="0"/>
        <v>1.2</v>
      </c>
      <c r="F24" s="74">
        <f t="shared" si="1"/>
        <v>1</v>
      </c>
      <c r="G24" s="75">
        <f t="shared" si="6"/>
        <v>0</v>
      </c>
      <c r="H24" s="69">
        <f>IFERROR(VLOOKUP(B24,#REF!,12,0),0)+IFERROR(VLOOKUP(B24,#REF!,9,0),0)</f>
        <v>0</v>
      </c>
      <c r="I24" s="69">
        <f t="shared" si="2"/>
        <v>8</v>
      </c>
      <c r="K24" s="78" t="s">
        <v>24</v>
      </c>
      <c r="L24" s="71">
        <v>0</v>
      </c>
      <c r="M24" s="71">
        <f t="shared" si="3"/>
        <v>8</v>
      </c>
      <c r="X24" s="78" t="s">
        <v>23</v>
      </c>
      <c r="Y24" s="78" t="s">
        <v>24</v>
      </c>
      <c r="Z24" s="78">
        <v>1.2</v>
      </c>
    </row>
    <row r="25" spans="1:26" ht="22" customHeight="1" x14ac:dyDescent="0.25">
      <c r="A25" s="69" t="s">
        <v>38</v>
      </c>
      <c r="B25" s="69" t="s">
        <v>10</v>
      </c>
      <c r="C25" s="74">
        <f t="shared" si="4"/>
        <v>0.72</v>
      </c>
      <c r="D25" s="74">
        <f t="shared" si="5"/>
        <v>0.6</v>
      </c>
      <c r="E25" s="74">
        <f t="shared" si="0"/>
        <v>1.2</v>
      </c>
      <c r="F25" s="74">
        <f t="shared" si="1"/>
        <v>1</v>
      </c>
      <c r="G25" s="75">
        <f t="shared" si="6"/>
        <v>0</v>
      </c>
      <c r="H25" s="69">
        <f>IFERROR(VLOOKUP(B25,#REF!,12,0),0)+IFERROR(VLOOKUP(B25,#REF!,9,0),0)</f>
        <v>0</v>
      </c>
      <c r="I25" s="69">
        <f t="shared" si="2"/>
        <v>8</v>
      </c>
      <c r="K25" s="78" t="s">
        <v>35</v>
      </c>
      <c r="L25" s="71">
        <v>0</v>
      </c>
      <c r="M25" s="71">
        <f t="shared" si="3"/>
        <v>8</v>
      </c>
      <c r="X25" s="78" t="s">
        <v>31</v>
      </c>
      <c r="Y25" s="78" t="s">
        <v>35</v>
      </c>
      <c r="Z25" s="78">
        <v>1</v>
      </c>
    </row>
    <row r="26" spans="1:26" ht="22" customHeight="1" x14ac:dyDescent="0.25">
      <c r="A26" s="69" t="s">
        <v>53</v>
      </c>
      <c r="B26" s="69" t="s">
        <v>68</v>
      </c>
      <c r="C26" s="74">
        <f t="shared" si="4"/>
        <v>0.72</v>
      </c>
      <c r="D26" s="74">
        <f t="shared" si="5"/>
        <v>0.6</v>
      </c>
      <c r="E26" s="74">
        <f t="shared" si="0"/>
        <v>1.2</v>
      </c>
      <c r="F26" s="74">
        <f t="shared" si="1"/>
        <v>1</v>
      </c>
      <c r="G26" s="75">
        <f t="shared" si="6"/>
        <v>0</v>
      </c>
      <c r="H26" s="69">
        <f>IFERROR(VLOOKUP(B26,#REF!,12,0),0)+IFERROR(VLOOKUP(B26,#REF!,9,0),0)</f>
        <v>0</v>
      </c>
      <c r="I26" s="69">
        <f t="shared" si="2"/>
        <v>8</v>
      </c>
      <c r="K26" s="78" t="s">
        <v>47</v>
      </c>
      <c r="L26" s="71">
        <v>0</v>
      </c>
      <c r="M26" s="71">
        <f t="shared" si="3"/>
        <v>8</v>
      </c>
      <c r="X26" s="78" t="s">
        <v>31</v>
      </c>
      <c r="Y26" s="78" t="s">
        <v>47</v>
      </c>
      <c r="Z26" s="78">
        <v>1</v>
      </c>
    </row>
    <row r="27" spans="1:26" ht="22" customHeight="1" x14ac:dyDescent="0.25">
      <c r="A27" s="69" t="s">
        <v>7</v>
      </c>
      <c r="B27" s="69" t="s">
        <v>58</v>
      </c>
      <c r="C27" s="74">
        <f t="shared" si="4"/>
        <v>0.72</v>
      </c>
      <c r="D27" s="74">
        <f t="shared" si="5"/>
        <v>0.6</v>
      </c>
      <c r="E27" s="74">
        <f t="shared" si="0"/>
        <v>1.2</v>
      </c>
      <c r="F27" s="74">
        <f t="shared" si="1"/>
        <v>1</v>
      </c>
      <c r="G27" s="75">
        <f t="shared" si="6"/>
        <v>0</v>
      </c>
      <c r="H27" s="69">
        <f>IFERROR(VLOOKUP(B27,#REF!,12,0),0)+IFERROR(VLOOKUP(B27,#REF!,9,0),0)</f>
        <v>0</v>
      </c>
      <c r="I27" s="69">
        <f t="shared" si="2"/>
        <v>8</v>
      </c>
      <c r="K27" s="78" t="s">
        <v>36</v>
      </c>
      <c r="L27" s="71">
        <v>0</v>
      </c>
      <c r="M27" s="71">
        <f t="shared" si="3"/>
        <v>8</v>
      </c>
      <c r="X27" s="78" t="s">
        <v>31</v>
      </c>
      <c r="Y27" s="78" t="s">
        <v>36</v>
      </c>
      <c r="Z27" s="78">
        <v>1</v>
      </c>
    </row>
    <row r="28" spans="1:26" ht="22" customHeight="1" x14ac:dyDescent="0.25">
      <c r="A28" s="69" t="s">
        <v>7</v>
      </c>
      <c r="B28" s="69" t="s">
        <v>40</v>
      </c>
      <c r="C28" s="74">
        <f t="shared" si="4"/>
        <v>0.72</v>
      </c>
      <c r="D28" s="74">
        <f t="shared" si="5"/>
        <v>0.6</v>
      </c>
      <c r="E28" s="74">
        <f t="shared" si="0"/>
        <v>1.2</v>
      </c>
      <c r="F28" s="74">
        <f t="shared" si="1"/>
        <v>1</v>
      </c>
      <c r="G28" s="75">
        <f t="shared" si="6"/>
        <v>0</v>
      </c>
      <c r="H28" s="69">
        <f>IFERROR(VLOOKUP(B28,#REF!,12,0),0)+IFERROR(VLOOKUP(B28,#REF!,9,0),0)</f>
        <v>0</v>
      </c>
      <c r="I28" s="69">
        <f t="shared" si="2"/>
        <v>8</v>
      </c>
      <c r="K28" s="78" t="s">
        <v>33</v>
      </c>
      <c r="L28" s="71">
        <v>0</v>
      </c>
      <c r="M28" s="71">
        <f t="shared" si="3"/>
        <v>8</v>
      </c>
      <c r="X28" s="78" t="s">
        <v>31</v>
      </c>
      <c r="Y28" s="78" t="s">
        <v>33</v>
      </c>
      <c r="Z28" s="78">
        <v>1</v>
      </c>
    </row>
    <row r="29" spans="1:26" ht="22" customHeight="1" x14ac:dyDescent="0.25">
      <c r="A29" s="69" t="s">
        <v>45</v>
      </c>
      <c r="B29" s="69" t="s">
        <v>28</v>
      </c>
      <c r="C29" s="74">
        <f t="shared" si="4"/>
        <v>0.72</v>
      </c>
      <c r="D29" s="74">
        <f t="shared" si="5"/>
        <v>0.6</v>
      </c>
      <c r="E29" s="74">
        <f t="shared" si="0"/>
        <v>1.2</v>
      </c>
      <c r="F29" s="74">
        <f t="shared" si="1"/>
        <v>1.2</v>
      </c>
      <c r="G29" s="75">
        <f t="shared" si="6"/>
        <v>0</v>
      </c>
      <c r="H29" s="69">
        <f>IFERROR(VLOOKUP(B29,#REF!,12,0),0)+IFERROR(VLOOKUP(B29,#REF!,9,0),0)</f>
        <v>0</v>
      </c>
      <c r="I29" s="69">
        <f t="shared" si="2"/>
        <v>8</v>
      </c>
      <c r="K29" s="78" t="s">
        <v>41</v>
      </c>
      <c r="L29" s="71">
        <v>0</v>
      </c>
      <c r="M29" s="71">
        <f t="shared" si="3"/>
        <v>8</v>
      </c>
      <c r="X29" s="78" t="s">
        <v>31</v>
      </c>
      <c r="Y29" s="78" t="s">
        <v>41</v>
      </c>
      <c r="Z29" s="78">
        <v>1</v>
      </c>
    </row>
    <row r="30" spans="1:26" ht="22" customHeight="1" x14ac:dyDescent="0.25">
      <c r="A30" s="69" t="s">
        <v>7</v>
      </c>
      <c r="B30" s="69" t="s">
        <v>11</v>
      </c>
      <c r="C30" s="74">
        <f t="shared" si="4"/>
        <v>0.72</v>
      </c>
      <c r="D30" s="74">
        <f t="shared" si="5"/>
        <v>0.6</v>
      </c>
      <c r="E30" s="74">
        <f t="shared" si="0"/>
        <v>1.2</v>
      </c>
      <c r="F30" s="74">
        <f t="shared" si="1"/>
        <v>1</v>
      </c>
      <c r="G30" s="75">
        <f t="shared" si="6"/>
        <v>0</v>
      </c>
      <c r="H30" s="69">
        <f>IFERROR(VLOOKUP(B30,#REF!,12,0),0)+IFERROR(VLOOKUP(B30,#REF!,9,0),0)</f>
        <v>0</v>
      </c>
      <c r="I30" s="69">
        <f t="shared" si="2"/>
        <v>7.5</v>
      </c>
      <c r="K30" s="78" t="s">
        <v>32</v>
      </c>
      <c r="L30" s="71">
        <v>0</v>
      </c>
      <c r="M30" s="71">
        <f t="shared" si="3"/>
        <v>8</v>
      </c>
      <c r="X30" s="78" t="s">
        <v>31</v>
      </c>
      <c r="Y30" s="78" t="s">
        <v>32</v>
      </c>
      <c r="Z30" s="78">
        <v>1</v>
      </c>
    </row>
    <row r="31" spans="1:26" ht="22" customHeight="1" x14ac:dyDescent="0.25">
      <c r="A31" s="69" t="s">
        <v>7</v>
      </c>
      <c r="B31" s="69" t="s">
        <v>80</v>
      </c>
      <c r="C31" s="74">
        <f t="shared" si="4"/>
        <v>0.72</v>
      </c>
      <c r="D31" s="74">
        <f t="shared" si="5"/>
        <v>0.6</v>
      </c>
      <c r="E31" s="74">
        <f t="shared" si="0"/>
        <v>1.2</v>
      </c>
      <c r="F31" s="74">
        <f t="shared" si="1"/>
        <v>1</v>
      </c>
      <c r="G31" s="75">
        <f t="shared" si="6"/>
        <v>0</v>
      </c>
      <c r="H31" s="69">
        <f>IFERROR(VLOOKUP(B31,#REF!,12,0),0)+IFERROR(VLOOKUP(B31,#REF!,9,0),0)</f>
        <v>0</v>
      </c>
      <c r="I31" s="69">
        <f t="shared" si="2"/>
        <v>8</v>
      </c>
      <c r="K31" s="78" t="s">
        <v>10</v>
      </c>
      <c r="L31" s="71">
        <v>0</v>
      </c>
      <c r="M31" s="71">
        <f t="shared" si="3"/>
        <v>8</v>
      </c>
      <c r="X31" s="78" t="s">
        <v>38</v>
      </c>
      <c r="Y31" s="78" t="s">
        <v>10</v>
      </c>
      <c r="Z31" s="78">
        <v>1</v>
      </c>
    </row>
    <row r="32" spans="1:26" ht="22" customHeight="1" x14ac:dyDescent="0.25">
      <c r="A32" s="69" t="s">
        <v>7</v>
      </c>
      <c r="B32" s="69" t="s">
        <v>81</v>
      </c>
      <c r="C32" s="74">
        <f t="shared" si="4"/>
        <v>0.72</v>
      </c>
      <c r="D32" s="74">
        <f t="shared" si="5"/>
        <v>0.6</v>
      </c>
      <c r="E32" s="74">
        <f t="shared" si="0"/>
        <v>1.2</v>
      </c>
      <c r="F32" s="74">
        <f t="shared" si="1"/>
        <v>1</v>
      </c>
      <c r="G32" s="75">
        <f t="shared" si="6"/>
        <v>0</v>
      </c>
      <c r="H32" s="69">
        <f>IFERROR(VLOOKUP(B32,#REF!,12,0),0)+IFERROR(VLOOKUP(B32,#REF!,9,0),0)</f>
        <v>0</v>
      </c>
      <c r="I32" s="69">
        <f t="shared" si="2"/>
        <v>8</v>
      </c>
      <c r="K32" s="78" t="s">
        <v>39</v>
      </c>
      <c r="L32" s="71">
        <v>0</v>
      </c>
      <c r="M32" s="71">
        <f t="shared" si="3"/>
        <v>8</v>
      </c>
      <c r="X32" s="78" t="s">
        <v>38</v>
      </c>
      <c r="Y32" s="78" t="s">
        <v>39</v>
      </c>
      <c r="Z32" s="78">
        <v>1.2</v>
      </c>
    </row>
    <row r="33" spans="1:26" ht="22" customHeight="1" x14ac:dyDescent="0.25">
      <c r="A33" s="69" t="s">
        <v>7</v>
      </c>
      <c r="B33" s="69" t="s">
        <v>61</v>
      </c>
      <c r="C33" s="74">
        <f t="shared" si="4"/>
        <v>0.72</v>
      </c>
      <c r="D33" s="74">
        <f t="shared" si="5"/>
        <v>0.6</v>
      </c>
      <c r="E33" s="74">
        <f t="shared" si="0"/>
        <v>1.2</v>
      </c>
      <c r="F33" s="74">
        <f t="shared" si="1"/>
        <v>1</v>
      </c>
      <c r="G33" s="75">
        <f t="shared" si="6"/>
        <v>0</v>
      </c>
      <c r="H33" s="69">
        <f>IFERROR(VLOOKUP(B33,#REF!,12,0),0)+IFERROR(VLOOKUP(B33,#REF!,9,0),0)</f>
        <v>0</v>
      </c>
      <c r="I33" s="69">
        <f t="shared" si="2"/>
        <v>7.5</v>
      </c>
      <c r="K33" s="78" t="s">
        <v>43</v>
      </c>
      <c r="L33" s="71">
        <v>0</v>
      </c>
      <c r="M33" s="71">
        <f t="shared" si="3"/>
        <v>8</v>
      </c>
      <c r="X33" s="78" t="s">
        <v>38</v>
      </c>
      <c r="Y33" s="78" t="s">
        <v>43</v>
      </c>
      <c r="Z33" s="78">
        <v>1</v>
      </c>
    </row>
    <row r="34" spans="1:26" ht="22" customHeight="1" x14ac:dyDescent="0.25">
      <c r="A34" s="69" t="s">
        <v>15</v>
      </c>
      <c r="B34" s="69" t="s">
        <v>62</v>
      </c>
      <c r="C34" s="74">
        <f t="shared" si="4"/>
        <v>0.72</v>
      </c>
      <c r="D34" s="74">
        <f t="shared" si="5"/>
        <v>0.6</v>
      </c>
      <c r="E34" s="74">
        <f t="shared" si="0"/>
        <v>1.2</v>
      </c>
      <c r="F34" s="74">
        <f t="shared" si="1"/>
        <v>1.2</v>
      </c>
      <c r="G34" s="75">
        <f t="shared" si="6"/>
        <v>0</v>
      </c>
      <c r="H34" s="69">
        <f>IFERROR(VLOOKUP(B34,#REF!,12,0),0)+IFERROR(VLOOKUP(B34,#REF!,9,0),0)</f>
        <v>0</v>
      </c>
      <c r="I34" s="69">
        <f t="shared" si="2"/>
        <v>8</v>
      </c>
      <c r="K34" s="78" t="s">
        <v>51</v>
      </c>
      <c r="L34" s="71">
        <v>0</v>
      </c>
      <c r="M34" s="71">
        <f t="shared" ref="M34:M50" si="10">$N$2-L34*0.5</f>
        <v>8</v>
      </c>
      <c r="X34" s="78" t="s">
        <v>38</v>
      </c>
      <c r="Y34" s="78" t="s">
        <v>51</v>
      </c>
      <c r="Z34" s="78">
        <v>1</v>
      </c>
    </row>
    <row r="35" spans="1:26" ht="22" customHeight="1" x14ac:dyDescent="0.25">
      <c r="A35" s="69" t="s">
        <v>15</v>
      </c>
      <c r="B35" s="69" t="s">
        <v>63</v>
      </c>
      <c r="C35" s="74">
        <f t="shared" si="4"/>
        <v>0.72</v>
      </c>
      <c r="D35" s="74">
        <f t="shared" si="5"/>
        <v>0.6</v>
      </c>
      <c r="E35" s="74">
        <f t="shared" si="0"/>
        <v>1.2</v>
      </c>
      <c r="F35" s="74">
        <f t="shared" si="1"/>
        <v>1</v>
      </c>
      <c r="G35" s="75">
        <f t="shared" si="6"/>
        <v>0</v>
      </c>
      <c r="H35" s="69">
        <f>IFERROR(VLOOKUP(B35,#REF!,12,0),0)+IFERROR(VLOOKUP(B35,#REF!,9,0),0)</f>
        <v>0</v>
      </c>
      <c r="I35" s="69">
        <f t="shared" si="2"/>
        <v>8</v>
      </c>
      <c r="K35" s="78" t="s">
        <v>54</v>
      </c>
      <c r="L35" s="71">
        <v>0</v>
      </c>
      <c r="M35" s="71">
        <f t="shared" si="10"/>
        <v>8</v>
      </c>
      <c r="X35" s="78" t="s">
        <v>38</v>
      </c>
      <c r="Y35" s="78" t="s">
        <v>54</v>
      </c>
      <c r="Z35" s="78">
        <v>1.2</v>
      </c>
    </row>
    <row r="36" spans="1:26" ht="22" customHeight="1" x14ac:dyDescent="0.25">
      <c r="A36" s="69" t="s">
        <v>23</v>
      </c>
      <c r="B36" s="69" t="s">
        <v>17</v>
      </c>
      <c r="C36" s="74">
        <f t="shared" si="4"/>
        <v>0.72</v>
      </c>
      <c r="D36" s="74">
        <f t="shared" si="5"/>
        <v>0.6</v>
      </c>
      <c r="E36" s="74">
        <f t="shared" si="0"/>
        <v>1.2</v>
      </c>
      <c r="F36" s="74">
        <f t="shared" si="1"/>
        <v>1</v>
      </c>
      <c r="G36" s="75">
        <f t="shared" si="6"/>
        <v>0</v>
      </c>
      <c r="H36" s="69">
        <f>IFERROR(VLOOKUP(B36,#REF!,12,0),0)+IFERROR(VLOOKUP(B36,#REF!,9,0),0)</f>
        <v>0</v>
      </c>
      <c r="I36" s="69">
        <f t="shared" si="2"/>
        <v>8</v>
      </c>
      <c r="K36" s="78" t="s">
        <v>64</v>
      </c>
      <c r="L36" s="71">
        <v>0</v>
      </c>
      <c r="M36" s="71">
        <f t="shared" si="10"/>
        <v>8</v>
      </c>
      <c r="X36" s="78" t="s">
        <v>38</v>
      </c>
      <c r="Y36" s="78" t="s">
        <v>64</v>
      </c>
      <c r="Z36" s="78">
        <v>1</v>
      </c>
    </row>
    <row r="37" spans="1:26" ht="22" customHeight="1" x14ac:dyDescent="0.25">
      <c r="A37" s="69" t="s">
        <v>23</v>
      </c>
      <c r="B37" s="69" t="s">
        <v>25</v>
      </c>
      <c r="C37" s="74">
        <f t="shared" si="4"/>
        <v>0.72</v>
      </c>
      <c r="D37" s="74">
        <f t="shared" si="5"/>
        <v>0.6</v>
      </c>
      <c r="E37" s="74">
        <f t="shared" si="0"/>
        <v>1.2</v>
      </c>
      <c r="F37" s="74">
        <f t="shared" si="1"/>
        <v>1</v>
      </c>
      <c r="G37" s="75">
        <f t="shared" si="6"/>
        <v>0</v>
      </c>
      <c r="H37" s="69">
        <f>IFERROR(VLOOKUP(B37,#REF!,12,0),0)+IFERROR(VLOOKUP(B37,#REF!,9,0),0)</f>
        <v>0</v>
      </c>
      <c r="I37" s="69">
        <f t="shared" si="2"/>
        <v>8</v>
      </c>
      <c r="K37" s="78" t="s">
        <v>28</v>
      </c>
      <c r="L37" s="71">
        <v>0</v>
      </c>
      <c r="M37" s="71">
        <f t="shared" si="10"/>
        <v>8</v>
      </c>
      <c r="X37" s="78" t="s">
        <v>45</v>
      </c>
      <c r="Y37" s="78" t="s">
        <v>28</v>
      </c>
      <c r="Z37" s="78">
        <v>1.2</v>
      </c>
    </row>
    <row r="38" spans="1:26" ht="22" customHeight="1" x14ac:dyDescent="0.25">
      <c r="A38" s="69" t="s">
        <v>31</v>
      </c>
      <c r="B38" s="69" t="s">
        <v>41</v>
      </c>
      <c r="C38" s="74">
        <f t="shared" si="4"/>
        <v>0.72</v>
      </c>
      <c r="D38" s="74">
        <f t="shared" si="5"/>
        <v>0.6</v>
      </c>
      <c r="E38" s="74">
        <f t="shared" si="0"/>
        <v>1.2</v>
      </c>
      <c r="F38" s="74">
        <f t="shared" si="1"/>
        <v>1</v>
      </c>
      <c r="G38" s="75">
        <f t="shared" si="6"/>
        <v>0</v>
      </c>
      <c r="H38" s="69">
        <f>IFERROR(VLOOKUP(B38,#REF!,12,0),0)+IFERROR(VLOOKUP(B38,#REF!,9,0),0)</f>
        <v>0</v>
      </c>
      <c r="I38" s="69">
        <f t="shared" si="2"/>
        <v>8</v>
      </c>
      <c r="K38" s="78" t="s">
        <v>66</v>
      </c>
      <c r="L38" s="71">
        <v>0</v>
      </c>
      <c r="M38" s="71">
        <f t="shared" si="10"/>
        <v>8</v>
      </c>
      <c r="X38" s="78" t="s">
        <v>45</v>
      </c>
      <c r="Y38" s="78" t="s">
        <v>66</v>
      </c>
      <c r="Z38" s="78">
        <v>1</v>
      </c>
    </row>
    <row r="39" spans="1:26" ht="22" customHeight="1" x14ac:dyDescent="0.25">
      <c r="A39" s="69" t="s">
        <v>31</v>
      </c>
      <c r="B39" s="69" t="s">
        <v>47</v>
      </c>
      <c r="C39" s="74">
        <f t="shared" si="4"/>
        <v>0.72</v>
      </c>
      <c r="D39" s="74">
        <f t="shared" si="5"/>
        <v>0.6</v>
      </c>
      <c r="E39" s="74">
        <f t="shared" si="0"/>
        <v>1.2</v>
      </c>
      <c r="F39" s="74">
        <f t="shared" si="1"/>
        <v>1</v>
      </c>
      <c r="G39" s="75">
        <f t="shared" si="6"/>
        <v>0</v>
      </c>
      <c r="H39" s="69">
        <f>IFERROR(VLOOKUP(B39,#REF!,12,0),0)+IFERROR(VLOOKUP(B39,#REF!,9,0),0)</f>
        <v>0</v>
      </c>
      <c r="I39" s="69">
        <f t="shared" si="2"/>
        <v>8</v>
      </c>
      <c r="K39" s="78" t="s">
        <v>46</v>
      </c>
      <c r="L39" s="71">
        <v>0</v>
      </c>
      <c r="M39" s="71">
        <f t="shared" si="10"/>
        <v>8</v>
      </c>
      <c r="X39" s="78" t="s">
        <v>45</v>
      </c>
      <c r="Y39" s="78" t="s">
        <v>46</v>
      </c>
      <c r="Z39" s="78">
        <v>1.2</v>
      </c>
    </row>
    <row r="40" spans="1:26" ht="22" customHeight="1" x14ac:dyDescent="0.25">
      <c r="A40" s="69" t="s">
        <v>38</v>
      </c>
      <c r="B40" s="69" t="s">
        <v>64</v>
      </c>
      <c r="C40" s="74">
        <f t="shared" si="4"/>
        <v>0.72</v>
      </c>
      <c r="D40" s="74">
        <f t="shared" si="5"/>
        <v>0.6</v>
      </c>
      <c r="E40" s="74">
        <f t="shared" si="0"/>
        <v>1.2</v>
      </c>
      <c r="F40" s="74">
        <f t="shared" si="1"/>
        <v>1</v>
      </c>
      <c r="G40" s="75">
        <f t="shared" si="6"/>
        <v>0</v>
      </c>
      <c r="H40" s="69">
        <f>IFERROR(VLOOKUP(B40,#REF!,12,0),0)+IFERROR(VLOOKUP(B40,#REF!,9,0),0)</f>
        <v>0</v>
      </c>
      <c r="I40" s="69">
        <f t="shared" si="2"/>
        <v>8</v>
      </c>
      <c r="K40" s="78" t="s">
        <v>49</v>
      </c>
      <c r="L40" s="71">
        <v>0</v>
      </c>
      <c r="M40" s="71">
        <f t="shared" si="10"/>
        <v>8</v>
      </c>
      <c r="X40" s="78" t="s">
        <v>45</v>
      </c>
      <c r="Y40" s="78" t="s">
        <v>49</v>
      </c>
      <c r="Z40" s="78">
        <v>1</v>
      </c>
    </row>
    <row r="41" spans="1:26" ht="22" customHeight="1" x14ac:dyDescent="0.25">
      <c r="A41" s="69" t="s">
        <v>38</v>
      </c>
      <c r="B41" s="69" t="s">
        <v>51</v>
      </c>
      <c r="C41" s="74">
        <f t="shared" si="4"/>
        <v>0.72</v>
      </c>
      <c r="D41" s="74">
        <f t="shared" si="5"/>
        <v>0.6</v>
      </c>
      <c r="E41" s="74">
        <f t="shared" si="0"/>
        <v>1.2</v>
      </c>
      <c r="F41" s="74">
        <f t="shared" si="1"/>
        <v>1</v>
      </c>
      <c r="G41" s="75">
        <f t="shared" si="6"/>
        <v>0</v>
      </c>
      <c r="H41" s="69">
        <f>IFERROR(VLOOKUP(B41,#REF!,12,0),0)+IFERROR(VLOOKUP(B41,#REF!,9,0),0)</f>
        <v>0</v>
      </c>
      <c r="I41" s="69">
        <f t="shared" si="2"/>
        <v>8</v>
      </c>
      <c r="K41" s="78" t="s">
        <v>22</v>
      </c>
      <c r="L41" s="71">
        <v>0</v>
      </c>
      <c r="M41" s="71">
        <f t="shared" si="10"/>
        <v>8</v>
      </c>
      <c r="X41" s="78" t="s">
        <v>45</v>
      </c>
      <c r="Y41" s="78" t="s">
        <v>22</v>
      </c>
      <c r="Z41" s="78">
        <v>1</v>
      </c>
    </row>
    <row r="42" spans="1:26" ht="22" customHeight="1" x14ac:dyDescent="0.25">
      <c r="A42" s="69" t="s">
        <v>38</v>
      </c>
      <c r="B42" s="69" t="s">
        <v>54</v>
      </c>
      <c r="C42" s="74">
        <f t="shared" si="4"/>
        <v>0.72</v>
      </c>
      <c r="D42" s="74">
        <f t="shared" si="5"/>
        <v>0.6</v>
      </c>
      <c r="E42" s="74">
        <f t="shared" si="0"/>
        <v>1.2</v>
      </c>
      <c r="F42" s="74">
        <f t="shared" si="1"/>
        <v>1.2</v>
      </c>
      <c r="G42" s="75">
        <f t="shared" si="6"/>
        <v>0</v>
      </c>
      <c r="H42" s="69">
        <f>IFERROR(VLOOKUP(B42,#REF!,12,0),0)+IFERROR(VLOOKUP(B42,#REF!,9,0),0)</f>
        <v>0</v>
      </c>
      <c r="I42" s="69">
        <f t="shared" si="2"/>
        <v>8</v>
      </c>
      <c r="K42" s="78" t="s">
        <v>56</v>
      </c>
      <c r="L42" s="71">
        <v>0</v>
      </c>
      <c r="M42" s="71">
        <f t="shared" si="10"/>
        <v>8</v>
      </c>
      <c r="X42" s="78" t="s">
        <v>45</v>
      </c>
      <c r="Y42" s="78" t="s">
        <v>56</v>
      </c>
      <c r="Z42" s="78">
        <v>1</v>
      </c>
    </row>
    <row r="43" spans="1:26" ht="22" customHeight="1" x14ac:dyDescent="0.25">
      <c r="A43" s="69" t="s">
        <v>38</v>
      </c>
      <c r="B43" s="69" t="s">
        <v>43</v>
      </c>
      <c r="C43" s="74">
        <f t="shared" si="4"/>
        <v>0.72</v>
      </c>
      <c r="D43" s="74">
        <f t="shared" si="5"/>
        <v>0.6</v>
      </c>
      <c r="E43" s="74">
        <f t="shared" si="0"/>
        <v>1.2</v>
      </c>
      <c r="F43" s="74">
        <f t="shared" si="1"/>
        <v>1</v>
      </c>
      <c r="G43" s="75">
        <f t="shared" si="6"/>
        <v>0</v>
      </c>
      <c r="H43" s="69">
        <f>IFERROR(VLOOKUP(B43,#REF!,12,0),0)+IFERROR(VLOOKUP(B43,#REF!,9,0),0)</f>
        <v>0</v>
      </c>
      <c r="I43" s="69">
        <f t="shared" si="2"/>
        <v>8</v>
      </c>
      <c r="K43" s="78" t="s">
        <v>79</v>
      </c>
      <c r="L43" s="71">
        <v>0</v>
      </c>
      <c r="M43" s="71">
        <f t="shared" si="10"/>
        <v>8</v>
      </c>
      <c r="X43" s="78" t="s">
        <v>45</v>
      </c>
      <c r="Y43" s="78" t="s">
        <v>79</v>
      </c>
      <c r="Z43" s="78">
        <v>1</v>
      </c>
    </row>
    <row r="44" spans="1:26" ht="22" customHeight="1" x14ac:dyDescent="0.25">
      <c r="A44" s="69" t="s">
        <v>45</v>
      </c>
      <c r="B44" s="69" t="s">
        <v>56</v>
      </c>
      <c r="C44" s="74">
        <f t="shared" si="4"/>
        <v>0.72</v>
      </c>
      <c r="D44" s="74">
        <f t="shared" si="5"/>
        <v>0.6</v>
      </c>
      <c r="E44" s="74">
        <f t="shared" si="0"/>
        <v>1.2</v>
      </c>
      <c r="F44" s="74">
        <f t="shared" si="1"/>
        <v>1</v>
      </c>
      <c r="G44" s="75">
        <f t="shared" si="6"/>
        <v>0</v>
      </c>
      <c r="H44" s="69">
        <f>IFERROR(VLOOKUP(B44,#REF!,12,0),0)+IFERROR(VLOOKUP(B44,#REF!,9,0),0)</f>
        <v>0</v>
      </c>
      <c r="I44" s="69">
        <f t="shared" si="2"/>
        <v>8</v>
      </c>
      <c r="K44" s="78" t="s">
        <v>68</v>
      </c>
      <c r="L44" s="71">
        <v>0</v>
      </c>
      <c r="M44" s="71">
        <f t="shared" si="10"/>
        <v>8</v>
      </c>
      <c r="X44" s="78" t="s">
        <v>53</v>
      </c>
      <c r="Y44" s="78" t="s">
        <v>68</v>
      </c>
      <c r="Z44" s="78">
        <v>1</v>
      </c>
    </row>
    <row r="45" spans="1:26" ht="22" customHeight="1" x14ac:dyDescent="0.25">
      <c r="A45" s="69" t="s">
        <v>45</v>
      </c>
      <c r="B45" s="69" t="s">
        <v>66</v>
      </c>
      <c r="C45" s="74">
        <f t="shared" si="4"/>
        <v>0.72</v>
      </c>
      <c r="D45" s="74">
        <f t="shared" si="5"/>
        <v>0.6</v>
      </c>
      <c r="E45" s="74">
        <f t="shared" si="0"/>
        <v>1.2</v>
      </c>
      <c r="F45" s="74">
        <f t="shared" si="1"/>
        <v>1</v>
      </c>
      <c r="G45" s="75">
        <f t="shared" si="6"/>
        <v>0</v>
      </c>
      <c r="H45" s="69">
        <f>IFERROR(VLOOKUP(B45,#REF!,12,0),0)+IFERROR(VLOOKUP(B45,#REF!,9,0),0)</f>
        <v>0</v>
      </c>
      <c r="I45" s="69">
        <f t="shared" si="2"/>
        <v>8</v>
      </c>
      <c r="K45" s="78" t="s">
        <v>69</v>
      </c>
      <c r="L45" s="71">
        <v>0</v>
      </c>
      <c r="M45" s="71">
        <f t="shared" si="10"/>
        <v>8</v>
      </c>
      <c r="X45" s="78" t="s">
        <v>53</v>
      </c>
      <c r="Y45" s="78" t="s">
        <v>69</v>
      </c>
      <c r="Z45" s="78">
        <v>1.2</v>
      </c>
    </row>
    <row r="46" spans="1:26" ht="22" customHeight="1" x14ac:dyDescent="0.25">
      <c r="A46" s="69" t="s">
        <v>45</v>
      </c>
      <c r="B46" s="69" t="s">
        <v>46</v>
      </c>
      <c r="C46" s="74">
        <f t="shared" si="4"/>
        <v>0.72</v>
      </c>
      <c r="D46" s="74">
        <f t="shared" si="5"/>
        <v>0.6</v>
      </c>
      <c r="E46" s="74">
        <f t="shared" si="0"/>
        <v>1.2</v>
      </c>
      <c r="F46" s="74">
        <f t="shared" si="1"/>
        <v>1.2</v>
      </c>
      <c r="G46" s="75">
        <f t="shared" si="6"/>
        <v>0</v>
      </c>
      <c r="H46" s="69">
        <f>IFERROR(VLOOKUP(B46,#REF!,12,0),0)+IFERROR(VLOOKUP(B46,#REF!,9,0),0)</f>
        <v>0</v>
      </c>
      <c r="I46" s="69">
        <f t="shared" si="2"/>
        <v>8</v>
      </c>
      <c r="K46" s="78" t="s">
        <v>19</v>
      </c>
      <c r="L46" s="71">
        <v>0</v>
      </c>
      <c r="M46" s="71">
        <f t="shared" si="10"/>
        <v>8</v>
      </c>
      <c r="X46" s="78" t="s">
        <v>53</v>
      </c>
      <c r="Y46" s="78" t="s">
        <v>19</v>
      </c>
      <c r="Z46" s="78">
        <v>1.2</v>
      </c>
    </row>
    <row r="47" spans="1:26" ht="22" customHeight="1" x14ac:dyDescent="0.25">
      <c r="A47" s="69" t="s">
        <v>45</v>
      </c>
      <c r="B47" s="69" t="s">
        <v>49</v>
      </c>
      <c r="C47" s="74">
        <f t="shared" si="4"/>
        <v>0.72</v>
      </c>
      <c r="D47" s="74">
        <f t="shared" si="5"/>
        <v>0.6</v>
      </c>
      <c r="E47" s="74">
        <f t="shared" si="0"/>
        <v>1.2</v>
      </c>
      <c r="F47" s="74">
        <f t="shared" si="1"/>
        <v>1</v>
      </c>
      <c r="G47" s="75">
        <f t="shared" si="6"/>
        <v>0</v>
      </c>
      <c r="H47" s="69">
        <f>IFERROR(VLOOKUP(B47,#REF!,12,0),0)+IFERROR(VLOOKUP(B47,#REF!,9,0),0)</f>
        <v>0</v>
      </c>
      <c r="I47" s="69">
        <f t="shared" si="2"/>
        <v>8</v>
      </c>
      <c r="K47" s="78" t="s">
        <v>12</v>
      </c>
      <c r="L47" s="71">
        <v>0</v>
      </c>
      <c r="M47" s="71">
        <f t="shared" si="10"/>
        <v>8</v>
      </c>
      <c r="X47" s="78" t="s">
        <v>53</v>
      </c>
      <c r="Y47" s="78" t="s">
        <v>12</v>
      </c>
      <c r="Z47" s="78">
        <v>1</v>
      </c>
    </row>
    <row r="48" spans="1:26" ht="22" customHeight="1" x14ac:dyDescent="0.25">
      <c r="A48" s="69" t="s">
        <v>45</v>
      </c>
      <c r="B48" s="69" t="s">
        <v>79</v>
      </c>
      <c r="C48" s="74">
        <f t="shared" si="4"/>
        <v>0.72</v>
      </c>
      <c r="D48" s="74">
        <f t="shared" si="5"/>
        <v>0.6</v>
      </c>
      <c r="E48" s="74">
        <f t="shared" si="0"/>
        <v>1.2</v>
      </c>
      <c r="F48" s="74">
        <f t="shared" si="1"/>
        <v>1</v>
      </c>
      <c r="G48" s="75">
        <f t="shared" si="6"/>
        <v>0</v>
      </c>
      <c r="H48" s="69">
        <f>IFERROR(VLOOKUP(B48,#REF!,12,0),0)+IFERROR(VLOOKUP(B48,#REF!,9,0),0)</f>
        <v>0</v>
      </c>
      <c r="I48" s="69">
        <f t="shared" si="2"/>
        <v>8</v>
      </c>
      <c r="K48" s="78" t="s">
        <v>42</v>
      </c>
      <c r="L48" s="71">
        <v>0</v>
      </c>
      <c r="M48" s="71">
        <f t="shared" si="10"/>
        <v>8</v>
      </c>
      <c r="X48" s="78" t="s">
        <v>53</v>
      </c>
      <c r="Y48" s="78" t="s">
        <v>42</v>
      </c>
      <c r="Z48" s="78">
        <v>1</v>
      </c>
    </row>
    <row r="49" spans="1:26" ht="22" customHeight="1" x14ac:dyDescent="0.25">
      <c r="A49" s="69" t="s">
        <v>53</v>
      </c>
      <c r="B49" s="69" t="s">
        <v>34</v>
      </c>
      <c r="C49" s="74">
        <f t="shared" si="4"/>
        <v>0.72</v>
      </c>
      <c r="D49" s="74">
        <f t="shared" si="5"/>
        <v>0.6</v>
      </c>
      <c r="E49" s="74">
        <f t="shared" si="0"/>
        <v>1.2</v>
      </c>
      <c r="F49" s="74">
        <f t="shared" si="1"/>
        <v>1</v>
      </c>
      <c r="G49" s="75">
        <f t="shared" si="6"/>
        <v>0</v>
      </c>
      <c r="H49" s="69">
        <f>IFERROR(VLOOKUP(B49,#REF!,12,0),0)+IFERROR(VLOOKUP(B49,#REF!,9,0),0)</f>
        <v>0</v>
      </c>
      <c r="I49" s="69">
        <f t="shared" si="2"/>
        <v>8</v>
      </c>
      <c r="K49" s="78" t="s">
        <v>34</v>
      </c>
      <c r="L49" s="71">
        <v>0</v>
      </c>
      <c r="M49" s="71">
        <f t="shared" si="10"/>
        <v>8</v>
      </c>
      <c r="X49" s="78" t="s">
        <v>53</v>
      </c>
      <c r="Y49" s="78" t="s">
        <v>34</v>
      </c>
      <c r="Z49" s="78">
        <v>1</v>
      </c>
    </row>
    <row r="50" spans="1:26" ht="22" customHeight="1" x14ac:dyDescent="0.25">
      <c r="K50" s="78" t="s">
        <v>59</v>
      </c>
      <c r="L50" s="71">
        <v>0</v>
      </c>
      <c r="M50" s="71">
        <f t="shared" si="10"/>
        <v>8</v>
      </c>
      <c r="X50" s="78" t="s">
        <v>53</v>
      </c>
      <c r="Y50" s="78" t="s">
        <v>59</v>
      </c>
      <c r="Z50" s="78">
        <v>1</v>
      </c>
    </row>
  </sheetData>
  <phoneticPr fontId="2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79857783745845"/>
  </sheetPr>
  <dimension ref="A1:H52"/>
  <sheetViews>
    <sheetView workbookViewId="0">
      <selection activeCell="G13" sqref="G13"/>
    </sheetView>
  </sheetViews>
  <sheetFormatPr defaultColWidth="9" defaultRowHeight="12.75" customHeight="1" x14ac:dyDescent="0.25"/>
  <cols>
    <col min="1" max="1" width="10.08984375" style="63" customWidth="1"/>
    <col min="2" max="2" width="13.26953125" style="63" customWidth="1"/>
    <col min="3" max="3" width="17.90625" style="63" customWidth="1"/>
    <col min="4" max="4" width="13.26953125" style="63" customWidth="1"/>
    <col min="5" max="5" width="18.08984375" style="63" customWidth="1"/>
    <col min="6" max="6" width="10.08984375" style="63" customWidth="1"/>
    <col min="7" max="7" width="16.26953125" style="63" customWidth="1"/>
    <col min="8" max="8" width="19.36328125" style="63" customWidth="1"/>
    <col min="9" max="16384" width="9" style="63"/>
  </cols>
  <sheetData>
    <row r="1" spans="1:8" ht="27.5" x14ac:dyDescent="0.6">
      <c r="A1" s="108" t="s">
        <v>132</v>
      </c>
      <c r="B1" s="109"/>
      <c r="C1" s="109"/>
      <c r="D1" s="109"/>
      <c r="E1" s="109"/>
      <c r="F1" s="109"/>
      <c r="G1" s="109"/>
      <c r="H1" s="109"/>
    </row>
    <row r="2" spans="1:8" ht="21.5" x14ac:dyDescent="0.25">
      <c r="A2" s="64" t="s">
        <v>4</v>
      </c>
      <c r="B2" s="64" t="s">
        <v>133</v>
      </c>
      <c r="C2" s="64" t="s">
        <v>134</v>
      </c>
      <c r="D2" s="64" t="s">
        <v>135</v>
      </c>
      <c r="E2" s="64" t="s">
        <v>136</v>
      </c>
      <c r="F2" s="64" t="s">
        <v>137</v>
      </c>
      <c r="G2" s="64" t="s">
        <v>138</v>
      </c>
      <c r="H2" s="64" t="s">
        <v>110</v>
      </c>
    </row>
    <row r="3" spans="1:8" ht="21.5" x14ac:dyDescent="0.45">
      <c r="A3" s="65" t="s">
        <v>139</v>
      </c>
      <c r="B3" s="66">
        <v>2102</v>
      </c>
      <c r="C3" s="66">
        <v>3056.9</v>
      </c>
      <c r="D3" s="67">
        <v>1708</v>
      </c>
      <c r="E3" s="66">
        <v>2278.1</v>
      </c>
      <c r="F3" s="68">
        <f t="shared" ref="F3:G34" si="0">D3/B3</f>
        <v>0.81255946717411986</v>
      </c>
      <c r="G3" s="68">
        <f t="shared" si="0"/>
        <v>0.74523209787693412</v>
      </c>
      <c r="H3" s="65"/>
    </row>
    <row r="4" spans="1:8" ht="21.5" x14ac:dyDescent="0.45">
      <c r="A4" s="66" t="s">
        <v>32</v>
      </c>
      <c r="B4" s="66">
        <v>49</v>
      </c>
      <c r="C4" s="66">
        <v>152</v>
      </c>
      <c r="D4" s="67">
        <v>42</v>
      </c>
      <c r="E4" s="66">
        <v>144</v>
      </c>
      <c r="F4" s="68">
        <f t="shared" si="0"/>
        <v>0.8571428571428571</v>
      </c>
      <c r="G4" s="68">
        <f t="shared" si="0"/>
        <v>0.94736842105263153</v>
      </c>
      <c r="H4" s="65"/>
    </row>
    <row r="5" spans="1:8" ht="21.5" x14ac:dyDescent="0.45">
      <c r="A5" s="66" t="s">
        <v>56</v>
      </c>
      <c r="B5" s="66">
        <v>608</v>
      </c>
      <c r="C5" s="66">
        <v>750.9</v>
      </c>
      <c r="D5" s="67">
        <v>442</v>
      </c>
      <c r="E5" s="66">
        <v>470.1</v>
      </c>
      <c r="F5" s="68">
        <f t="shared" si="0"/>
        <v>0.72697368421052633</v>
      </c>
      <c r="G5" s="68">
        <f t="shared" si="0"/>
        <v>0.62604874151018786</v>
      </c>
      <c r="H5" s="65" t="s">
        <v>140</v>
      </c>
    </row>
    <row r="6" spans="1:8" ht="21.5" x14ac:dyDescent="0.45">
      <c r="A6" s="66" t="s">
        <v>10</v>
      </c>
      <c r="B6" s="66">
        <v>20</v>
      </c>
      <c r="C6" s="66">
        <v>63.4</v>
      </c>
      <c r="D6" s="67">
        <v>16</v>
      </c>
      <c r="E6" s="66">
        <v>32.9</v>
      </c>
      <c r="F6" s="68">
        <f t="shared" si="0"/>
        <v>0.8</v>
      </c>
      <c r="G6" s="68">
        <f t="shared" si="0"/>
        <v>0.51892744479495267</v>
      </c>
      <c r="H6" s="65"/>
    </row>
    <row r="7" spans="1:8" ht="21.5" x14ac:dyDescent="0.45">
      <c r="A7" s="66" t="s">
        <v>28</v>
      </c>
      <c r="B7" s="66">
        <v>38</v>
      </c>
      <c r="C7" s="66">
        <v>22.1</v>
      </c>
      <c r="D7" s="67">
        <v>36</v>
      </c>
      <c r="E7" s="66">
        <v>22.1</v>
      </c>
      <c r="F7" s="68">
        <f t="shared" si="0"/>
        <v>0.94736842105263153</v>
      </c>
      <c r="G7" s="68">
        <f t="shared" si="0"/>
        <v>1</v>
      </c>
      <c r="H7" s="65"/>
    </row>
    <row r="8" spans="1:8" ht="21.5" x14ac:dyDescent="0.45">
      <c r="A8" s="66" t="s">
        <v>42</v>
      </c>
      <c r="B8" s="66">
        <v>43</v>
      </c>
      <c r="C8" s="66">
        <v>38</v>
      </c>
      <c r="D8" s="67">
        <v>40</v>
      </c>
      <c r="E8" s="66">
        <v>37.9</v>
      </c>
      <c r="F8" s="68">
        <f t="shared" si="0"/>
        <v>0.93023255813953487</v>
      </c>
      <c r="G8" s="68">
        <f t="shared" si="0"/>
        <v>0.99736842105263157</v>
      </c>
      <c r="H8" s="65"/>
    </row>
    <row r="9" spans="1:8" ht="21.5" x14ac:dyDescent="0.45">
      <c r="A9" s="66" t="s">
        <v>26</v>
      </c>
      <c r="B9" s="66">
        <v>54</v>
      </c>
      <c r="C9" s="66">
        <v>46.3</v>
      </c>
      <c r="D9" s="67">
        <v>46</v>
      </c>
      <c r="E9" s="66">
        <v>37.200000000000003</v>
      </c>
      <c r="F9" s="68">
        <f t="shared" si="0"/>
        <v>0.85185185185185186</v>
      </c>
      <c r="G9" s="68">
        <f t="shared" si="0"/>
        <v>0.8034557235421167</v>
      </c>
      <c r="H9" s="65"/>
    </row>
    <row r="10" spans="1:8" ht="21.5" x14ac:dyDescent="0.45">
      <c r="A10" s="66" t="s">
        <v>64</v>
      </c>
      <c r="B10" s="66">
        <v>7</v>
      </c>
      <c r="C10" s="66">
        <v>13</v>
      </c>
      <c r="D10" s="67">
        <v>7</v>
      </c>
      <c r="E10" s="66">
        <v>13</v>
      </c>
      <c r="F10" s="68">
        <f t="shared" si="0"/>
        <v>1</v>
      </c>
      <c r="G10" s="68">
        <f t="shared" si="0"/>
        <v>1</v>
      </c>
      <c r="H10" s="65"/>
    </row>
    <row r="11" spans="1:8" ht="21.5" x14ac:dyDescent="0.45">
      <c r="A11" s="66" t="s">
        <v>46</v>
      </c>
      <c r="B11" s="66">
        <v>26</v>
      </c>
      <c r="C11" s="66">
        <v>28.2</v>
      </c>
      <c r="D11" s="67">
        <v>23</v>
      </c>
      <c r="E11" s="66">
        <v>21.3</v>
      </c>
      <c r="F11" s="68">
        <f t="shared" si="0"/>
        <v>0.88461538461538458</v>
      </c>
      <c r="G11" s="68">
        <f t="shared" si="0"/>
        <v>0.75531914893617025</v>
      </c>
      <c r="H11" s="65"/>
    </row>
    <row r="12" spans="1:8" ht="21.5" x14ac:dyDescent="0.45">
      <c r="A12" s="66" t="s">
        <v>18</v>
      </c>
      <c r="B12" s="66">
        <v>37</v>
      </c>
      <c r="C12" s="66">
        <v>24.3</v>
      </c>
      <c r="D12" s="67">
        <v>33</v>
      </c>
      <c r="E12" s="66">
        <v>11.2</v>
      </c>
      <c r="F12" s="68">
        <f t="shared" si="0"/>
        <v>0.89189189189189189</v>
      </c>
      <c r="G12" s="68">
        <f t="shared" si="0"/>
        <v>0.46090534979423864</v>
      </c>
      <c r="H12" s="65"/>
    </row>
    <row r="13" spans="1:8" ht="21.5" x14ac:dyDescent="0.45">
      <c r="A13" s="66" t="s">
        <v>36</v>
      </c>
      <c r="B13" s="66">
        <v>15</v>
      </c>
      <c r="C13" s="66">
        <v>10.6</v>
      </c>
      <c r="D13" s="67">
        <v>10</v>
      </c>
      <c r="E13" s="66">
        <v>9.4</v>
      </c>
      <c r="F13" s="68">
        <f t="shared" si="0"/>
        <v>0.66666666666666663</v>
      </c>
      <c r="G13" s="68">
        <f t="shared" si="0"/>
        <v>0.8867924528301887</v>
      </c>
      <c r="H13" s="65"/>
    </row>
    <row r="14" spans="1:8" ht="21.5" x14ac:dyDescent="0.45">
      <c r="A14" s="66" t="s">
        <v>62</v>
      </c>
      <c r="B14" s="66">
        <v>19</v>
      </c>
      <c r="C14" s="66">
        <v>40</v>
      </c>
      <c r="D14" s="67">
        <v>14</v>
      </c>
      <c r="E14" s="66">
        <v>33.1</v>
      </c>
      <c r="F14" s="68">
        <f t="shared" si="0"/>
        <v>0.73684210526315785</v>
      </c>
      <c r="G14" s="68">
        <f t="shared" si="0"/>
        <v>0.82750000000000001</v>
      </c>
      <c r="H14" s="65"/>
    </row>
    <row r="15" spans="1:8" ht="21.5" x14ac:dyDescent="0.45">
      <c r="A15" s="66" t="s">
        <v>24</v>
      </c>
      <c r="B15" s="66">
        <v>9</v>
      </c>
      <c r="C15" s="66">
        <v>17.3</v>
      </c>
      <c r="D15" s="67">
        <v>7</v>
      </c>
      <c r="E15" s="66">
        <v>13</v>
      </c>
      <c r="F15" s="68">
        <f t="shared" si="0"/>
        <v>0.77777777777777779</v>
      </c>
      <c r="G15" s="68">
        <f t="shared" si="0"/>
        <v>0.75144508670520227</v>
      </c>
      <c r="H15" s="65"/>
    </row>
    <row r="16" spans="1:8" ht="21.5" x14ac:dyDescent="0.45">
      <c r="A16" s="66" t="s">
        <v>68</v>
      </c>
      <c r="B16" s="66">
        <v>8</v>
      </c>
      <c r="C16" s="66">
        <v>6.8</v>
      </c>
      <c r="D16" s="67">
        <v>8</v>
      </c>
      <c r="E16" s="66">
        <v>6.8</v>
      </c>
      <c r="F16" s="68">
        <f t="shared" si="0"/>
        <v>1</v>
      </c>
      <c r="G16" s="68">
        <f t="shared" si="0"/>
        <v>1</v>
      </c>
      <c r="H16" s="65"/>
    </row>
    <row r="17" spans="1:8" ht="21.5" x14ac:dyDescent="0.45">
      <c r="A17" s="66" t="s">
        <v>8</v>
      </c>
      <c r="B17" s="66">
        <v>8</v>
      </c>
      <c r="C17" s="66">
        <v>12.4</v>
      </c>
      <c r="D17" s="67">
        <v>8</v>
      </c>
      <c r="E17" s="66">
        <v>12.4</v>
      </c>
      <c r="F17" s="68">
        <f t="shared" si="0"/>
        <v>1</v>
      </c>
      <c r="G17" s="68">
        <f t="shared" si="0"/>
        <v>1</v>
      </c>
      <c r="H17" s="65"/>
    </row>
    <row r="18" spans="1:8" ht="21.5" x14ac:dyDescent="0.45">
      <c r="A18" s="66" t="s">
        <v>12</v>
      </c>
      <c r="B18" s="66">
        <v>47</v>
      </c>
      <c r="C18" s="66">
        <v>27.2</v>
      </c>
      <c r="D18" s="67">
        <v>41</v>
      </c>
      <c r="E18" s="66">
        <v>19.399999999999999</v>
      </c>
      <c r="F18" s="68">
        <f t="shared" si="0"/>
        <v>0.87234042553191493</v>
      </c>
      <c r="G18" s="68">
        <f t="shared" si="0"/>
        <v>0.71323529411764708</v>
      </c>
      <c r="H18" s="65"/>
    </row>
    <row r="19" spans="1:8" ht="21.5" x14ac:dyDescent="0.45">
      <c r="A19" s="66" t="s">
        <v>50</v>
      </c>
      <c r="B19" s="66">
        <v>23</v>
      </c>
      <c r="C19" s="66">
        <v>19.600000000000001</v>
      </c>
      <c r="D19" s="67">
        <v>20</v>
      </c>
      <c r="E19" s="66">
        <v>7.6</v>
      </c>
      <c r="F19" s="68">
        <f t="shared" si="0"/>
        <v>0.86956521739130432</v>
      </c>
      <c r="G19" s="68">
        <f t="shared" si="0"/>
        <v>0.38775510204081626</v>
      </c>
      <c r="H19" s="65"/>
    </row>
    <row r="20" spans="1:8" ht="21.5" x14ac:dyDescent="0.45">
      <c r="A20" s="66" t="s">
        <v>65</v>
      </c>
      <c r="B20" s="66">
        <v>30</v>
      </c>
      <c r="C20" s="66">
        <v>40</v>
      </c>
      <c r="D20" s="67">
        <v>26</v>
      </c>
      <c r="E20" s="66">
        <v>22.2</v>
      </c>
      <c r="F20" s="68">
        <f t="shared" si="0"/>
        <v>0.8666666666666667</v>
      </c>
      <c r="G20" s="68">
        <f t="shared" si="0"/>
        <v>0.55499999999999994</v>
      </c>
      <c r="H20" s="65"/>
    </row>
    <row r="21" spans="1:8" ht="21.5" x14ac:dyDescent="0.45">
      <c r="A21" s="66" t="s">
        <v>58</v>
      </c>
      <c r="B21" s="66">
        <v>45</v>
      </c>
      <c r="C21" s="66">
        <v>144.5</v>
      </c>
      <c r="D21" s="67">
        <v>39</v>
      </c>
      <c r="E21" s="66">
        <v>119.4</v>
      </c>
      <c r="F21" s="68">
        <f t="shared" si="0"/>
        <v>0.8666666666666667</v>
      </c>
      <c r="G21" s="68">
        <f t="shared" si="0"/>
        <v>0.82629757785467128</v>
      </c>
      <c r="H21" s="65"/>
    </row>
    <row r="22" spans="1:8" ht="21.5" x14ac:dyDescent="0.45">
      <c r="A22" s="66" t="s">
        <v>22</v>
      </c>
      <c r="B22" s="66">
        <v>19</v>
      </c>
      <c r="C22" s="66">
        <v>22.4</v>
      </c>
      <c r="D22" s="67">
        <v>18</v>
      </c>
      <c r="E22" s="66">
        <v>22.4</v>
      </c>
      <c r="F22" s="68">
        <f t="shared" si="0"/>
        <v>0.94736842105263153</v>
      </c>
      <c r="G22" s="68">
        <f t="shared" si="0"/>
        <v>1</v>
      </c>
      <c r="H22" s="65"/>
    </row>
    <row r="23" spans="1:8" ht="21.5" x14ac:dyDescent="0.45">
      <c r="A23" s="66" t="s">
        <v>80</v>
      </c>
      <c r="B23" s="66">
        <v>21</v>
      </c>
      <c r="C23" s="66">
        <v>15.1</v>
      </c>
      <c r="D23" s="67">
        <v>20</v>
      </c>
      <c r="E23" s="66">
        <v>15.2</v>
      </c>
      <c r="F23" s="68">
        <f t="shared" si="0"/>
        <v>0.95238095238095233</v>
      </c>
      <c r="G23" s="68">
        <f t="shared" si="0"/>
        <v>1.0066225165562914</v>
      </c>
      <c r="H23" s="65"/>
    </row>
    <row r="24" spans="1:8" ht="21.5" x14ac:dyDescent="0.45">
      <c r="A24" s="66" t="s">
        <v>54</v>
      </c>
      <c r="B24" s="66">
        <v>47</v>
      </c>
      <c r="C24" s="66">
        <v>124.8</v>
      </c>
      <c r="D24" s="67">
        <v>30</v>
      </c>
      <c r="E24" s="66">
        <v>97</v>
      </c>
      <c r="F24" s="68">
        <f t="shared" si="0"/>
        <v>0.63829787234042556</v>
      </c>
      <c r="G24" s="68">
        <f t="shared" si="0"/>
        <v>0.77724358974358976</v>
      </c>
      <c r="H24" s="65"/>
    </row>
    <row r="25" spans="1:8" ht="21.5" x14ac:dyDescent="0.45">
      <c r="A25" s="66" t="s">
        <v>39</v>
      </c>
      <c r="B25" s="66">
        <v>38</v>
      </c>
      <c r="C25" s="66">
        <v>89.2</v>
      </c>
      <c r="D25" s="67">
        <v>35</v>
      </c>
      <c r="E25" s="66">
        <v>87.1</v>
      </c>
      <c r="F25" s="68">
        <f t="shared" si="0"/>
        <v>0.92105263157894735</v>
      </c>
      <c r="G25" s="68">
        <f t="shared" si="0"/>
        <v>0.97645739910313889</v>
      </c>
      <c r="H25" s="65"/>
    </row>
    <row r="26" spans="1:8" ht="21.5" x14ac:dyDescent="0.45">
      <c r="A26" s="66" t="s">
        <v>25</v>
      </c>
      <c r="B26" s="66">
        <v>31</v>
      </c>
      <c r="C26" s="66">
        <v>7.9</v>
      </c>
      <c r="D26" s="67">
        <v>25</v>
      </c>
      <c r="E26" s="66">
        <v>3.8</v>
      </c>
      <c r="F26" s="68">
        <f t="shared" si="0"/>
        <v>0.80645161290322576</v>
      </c>
      <c r="G26" s="68">
        <f t="shared" si="0"/>
        <v>0.48101265822784806</v>
      </c>
      <c r="H26" s="65"/>
    </row>
    <row r="27" spans="1:8" ht="21.5" x14ac:dyDescent="0.45">
      <c r="A27" s="66" t="s">
        <v>40</v>
      </c>
      <c r="B27" s="66">
        <v>11</v>
      </c>
      <c r="C27" s="66">
        <v>53.8</v>
      </c>
      <c r="D27" s="67">
        <v>10</v>
      </c>
      <c r="E27" s="66">
        <v>50.2</v>
      </c>
      <c r="F27" s="68">
        <f t="shared" si="0"/>
        <v>0.90909090909090906</v>
      </c>
      <c r="G27" s="68">
        <f t="shared" si="0"/>
        <v>0.93308550185873618</v>
      </c>
      <c r="H27" s="65"/>
    </row>
    <row r="28" spans="1:8" ht="21.5" x14ac:dyDescent="0.45">
      <c r="A28" s="66" t="s">
        <v>35</v>
      </c>
      <c r="B28" s="66">
        <v>19</v>
      </c>
      <c r="C28" s="66">
        <v>94.2</v>
      </c>
      <c r="D28" s="67">
        <v>9</v>
      </c>
      <c r="E28" s="66">
        <v>53</v>
      </c>
      <c r="F28" s="68">
        <f t="shared" si="0"/>
        <v>0.47368421052631576</v>
      </c>
      <c r="G28" s="68">
        <f t="shared" si="0"/>
        <v>0.56263269639065816</v>
      </c>
      <c r="H28" s="65"/>
    </row>
    <row r="29" spans="1:8" ht="21.5" x14ac:dyDescent="0.45">
      <c r="A29" s="66" t="s">
        <v>11</v>
      </c>
      <c r="B29" s="66">
        <v>46</v>
      </c>
      <c r="C29" s="66">
        <v>11.1</v>
      </c>
      <c r="D29" s="67">
        <v>38</v>
      </c>
      <c r="E29" s="66">
        <v>7.1</v>
      </c>
      <c r="F29" s="68">
        <f t="shared" si="0"/>
        <v>0.82608695652173914</v>
      </c>
      <c r="G29" s="68">
        <f t="shared" si="0"/>
        <v>0.63963963963963966</v>
      </c>
      <c r="H29" s="65"/>
    </row>
    <row r="30" spans="1:8" ht="21.5" x14ac:dyDescent="0.45">
      <c r="A30" s="66" t="s">
        <v>59</v>
      </c>
      <c r="B30" s="66">
        <v>34</v>
      </c>
      <c r="C30" s="66">
        <v>24.6</v>
      </c>
      <c r="D30" s="67">
        <v>31</v>
      </c>
      <c r="E30" s="66">
        <v>19.600000000000001</v>
      </c>
      <c r="F30" s="68">
        <f t="shared" si="0"/>
        <v>0.91176470588235292</v>
      </c>
      <c r="G30" s="68">
        <f t="shared" si="0"/>
        <v>0.7967479674796748</v>
      </c>
      <c r="H30" s="65"/>
    </row>
    <row r="31" spans="1:8" ht="21.5" x14ac:dyDescent="0.45">
      <c r="A31" s="66" t="s">
        <v>43</v>
      </c>
      <c r="B31" s="66">
        <v>46</v>
      </c>
      <c r="C31" s="66">
        <v>38.299999999999997</v>
      </c>
      <c r="D31" s="67">
        <v>41</v>
      </c>
      <c r="E31" s="66">
        <v>35.6</v>
      </c>
      <c r="F31" s="68">
        <f t="shared" si="0"/>
        <v>0.89130434782608692</v>
      </c>
      <c r="G31" s="68">
        <f t="shared" si="0"/>
        <v>0.92950391644908625</v>
      </c>
      <c r="H31" s="65"/>
    </row>
    <row r="32" spans="1:8" ht="21.5" x14ac:dyDescent="0.45">
      <c r="A32" s="66" t="s">
        <v>49</v>
      </c>
      <c r="B32" s="66">
        <v>41</v>
      </c>
      <c r="C32" s="66">
        <v>95.3</v>
      </c>
      <c r="D32" s="67">
        <v>35</v>
      </c>
      <c r="E32" s="66">
        <v>90.6</v>
      </c>
      <c r="F32" s="68">
        <f t="shared" si="0"/>
        <v>0.85365853658536583</v>
      </c>
      <c r="G32" s="68">
        <f t="shared" si="0"/>
        <v>0.95068205666316896</v>
      </c>
      <c r="H32" s="65"/>
    </row>
    <row r="33" spans="1:8" ht="21.5" x14ac:dyDescent="0.45">
      <c r="A33" s="66" t="s">
        <v>21</v>
      </c>
      <c r="B33" s="66">
        <v>20</v>
      </c>
      <c r="C33" s="66">
        <v>5.3</v>
      </c>
      <c r="D33" s="67">
        <v>17</v>
      </c>
      <c r="E33" s="66">
        <v>4.3</v>
      </c>
      <c r="F33" s="68">
        <f t="shared" si="0"/>
        <v>0.85</v>
      </c>
      <c r="G33" s="68">
        <f t="shared" si="0"/>
        <v>0.81132075471698117</v>
      </c>
      <c r="H33" s="65"/>
    </row>
    <row r="34" spans="1:8" ht="21.5" x14ac:dyDescent="0.45">
      <c r="A34" s="66" t="s">
        <v>33</v>
      </c>
      <c r="B34" s="66">
        <v>44</v>
      </c>
      <c r="C34" s="66">
        <v>43.1</v>
      </c>
      <c r="D34" s="67">
        <v>37</v>
      </c>
      <c r="E34" s="66">
        <v>38.299999999999997</v>
      </c>
      <c r="F34" s="68">
        <f t="shared" si="0"/>
        <v>0.84090909090909094</v>
      </c>
      <c r="G34" s="68">
        <f t="shared" si="0"/>
        <v>0.88863109048723887</v>
      </c>
      <c r="H34" s="65"/>
    </row>
    <row r="35" spans="1:8" ht="21.5" x14ac:dyDescent="0.45">
      <c r="A35" s="66" t="s">
        <v>81</v>
      </c>
      <c r="B35" s="66">
        <v>32</v>
      </c>
      <c r="C35" s="66">
        <v>44.6</v>
      </c>
      <c r="D35" s="67">
        <v>24</v>
      </c>
      <c r="E35" s="66">
        <v>20.5</v>
      </c>
      <c r="F35" s="68">
        <f t="shared" ref="F35:G51" si="1">D35/B35</f>
        <v>0.75</v>
      </c>
      <c r="G35" s="68">
        <f t="shared" si="1"/>
        <v>0.45964125560538116</v>
      </c>
      <c r="H35" s="65"/>
    </row>
    <row r="36" spans="1:8" ht="21.5" x14ac:dyDescent="0.45">
      <c r="A36" s="66" t="s">
        <v>71</v>
      </c>
      <c r="B36" s="66">
        <v>49</v>
      </c>
      <c r="C36" s="66">
        <v>102.1</v>
      </c>
      <c r="D36" s="67">
        <v>34</v>
      </c>
      <c r="E36" s="66">
        <v>70.400000000000006</v>
      </c>
      <c r="F36" s="68">
        <f t="shared" si="1"/>
        <v>0.69387755102040816</v>
      </c>
      <c r="G36" s="68">
        <f t="shared" si="1"/>
        <v>0.68952007835455442</v>
      </c>
      <c r="H36" s="65"/>
    </row>
    <row r="37" spans="1:8" ht="21.5" x14ac:dyDescent="0.45">
      <c r="A37" s="66" t="s">
        <v>51</v>
      </c>
      <c r="B37" s="66">
        <v>32</v>
      </c>
      <c r="C37" s="66">
        <v>24.6</v>
      </c>
      <c r="D37" s="67">
        <v>30</v>
      </c>
      <c r="E37" s="66">
        <v>22.2</v>
      </c>
      <c r="F37" s="68">
        <f t="shared" si="1"/>
        <v>0.9375</v>
      </c>
      <c r="G37" s="68">
        <f t="shared" si="1"/>
        <v>0.90243902439024382</v>
      </c>
      <c r="H37" s="65"/>
    </row>
    <row r="38" spans="1:8" ht="21.5" x14ac:dyDescent="0.45">
      <c r="A38" s="66" t="s">
        <v>17</v>
      </c>
      <c r="B38" s="66">
        <v>38</v>
      </c>
      <c r="C38" s="66">
        <v>14</v>
      </c>
      <c r="D38" s="67">
        <v>33</v>
      </c>
      <c r="E38" s="66">
        <v>7.5</v>
      </c>
      <c r="F38" s="68">
        <f t="shared" si="1"/>
        <v>0.86842105263157898</v>
      </c>
      <c r="G38" s="68">
        <f t="shared" si="1"/>
        <v>0.5357142857142857</v>
      </c>
      <c r="H38" s="65"/>
    </row>
    <row r="39" spans="1:8" ht="21.5" x14ac:dyDescent="0.45">
      <c r="A39" s="66" t="s">
        <v>66</v>
      </c>
      <c r="B39" s="66">
        <v>36</v>
      </c>
      <c r="C39" s="66">
        <v>19.8</v>
      </c>
      <c r="D39" s="67">
        <v>33</v>
      </c>
      <c r="E39" s="66">
        <v>16.8</v>
      </c>
      <c r="F39" s="68">
        <f t="shared" si="1"/>
        <v>0.91666666666666663</v>
      </c>
      <c r="G39" s="68">
        <f t="shared" si="1"/>
        <v>0.84848484848484851</v>
      </c>
      <c r="H39" s="65"/>
    </row>
    <row r="40" spans="1:8" ht="21.5" x14ac:dyDescent="0.45">
      <c r="A40" s="66" t="s">
        <v>48</v>
      </c>
      <c r="B40" s="66">
        <v>84</v>
      </c>
      <c r="C40" s="66">
        <v>296.8</v>
      </c>
      <c r="D40" s="67">
        <v>76</v>
      </c>
      <c r="E40" s="66">
        <v>287.60000000000002</v>
      </c>
      <c r="F40" s="68">
        <f t="shared" si="1"/>
        <v>0.90476190476190477</v>
      </c>
      <c r="G40" s="68">
        <f t="shared" si="1"/>
        <v>0.96900269541778983</v>
      </c>
      <c r="H40" s="65"/>
    </row>
    <row r="41" spans="1:8" ht="21.5" x14ac:dyDescent="0.45">
      <c r="A41" s="66" t="s">
        <v>79</v>
      </c>
      <c r="B41" s="66">
        <v>35</v>
      </c>
      <c r="C41" s="66">
        <v>8.6</v>
      </c>
      <c r="D41" s="67">
        <v>33</v>
      </c>
      <c r="E41" s="66">
        <v>7.2</v>
      </c>
      <c r="F41" s="68">
        <f t="shared" si="1"/>
        <v>0.94285714285714284</v>
      </c>
      <c r="G41" s="68">
        <f t="shared" si="1"/>
        <v>0.83720930232558144</v>
      </c>
      <c r="H41" s="65"/>
    </row>
    <row r="42" spans="1:8" ht="21.5" x14ac:dyDescent="0.45">
      <c r="A42" s="66" t="s">
        <v>55</v>
      </c>
      <c r="B42" s="66">
        <v>33</v>
      </c>
      <c r="C42" s="66">
        <v>21.7</v>
      </c>
      <c r="D42" s="67">
        <v>27</v>
      </c>
      <c r="E42" s="66">
        <v>13.4</v>
      </c>
      <c r="F42" s="68">
        <f t="shared" si="1"/>
        <v>0.81818181818181823</v>
      </c>
      <c r="G42" s="68">
        <f t="shared" si="1"/>
        <v>0.61751152073732718</v>
      </c>
      <c r="H42" s="65"/>
    </row>
    <row r="43" spans="1:8" ht="21.5" x14ac:dyDescent="0.45">
      <c r="A43" s="66" t="s">
        <v>57</v>
      </c>
      <c r="B43" s="66">
        <v>36</v>
      </c>
      <c r="C43" s="66">
        <v>31.4</v>
      </c>
      <c r="D43" s="67">
        <v>31</v>
      </c>
      <c r="E43" s="66">
        <v>30.1</v>
      </c>
      <c r="F43" s="68">
        <f t="shared" si="1"/>
        <v>0.86111111111111116</v>
      </c>
      <c r="G43" s="68">
        <f t="shared" si="1"/>
        <v>0.9585987261146498</v>
      </c>
      <c r="H43" s="65"/>
    </row>
    <row r="44" spans="1:8" ht="21.5" x14ac:dyDescent="0.45">
      <c r="A44" s="66" t="s">
        <v>47</v>
      </c>
      <c r="B44" s="66">
        <v>34</v>
      </c>
      <c r="C44" s="66">
        <v>98.5</v>
      </c>
      <c r="D44" s="67">
        <v>28</v>
      </c>
      <c r="E44" s="66">
        <v>10.7</v>
      </c>
      <c r="F44" s="68">
        <f t="shared" si="1"/>
        <v>0.82352941176470584</v>
      </c>
      <c r="G44" s="68">
        <f t="shared" si="1"/>
        <v>0.10862944162436547</v>
      </c>
      <c r="H44" s="65"/>
    </row>
    <row r="45" spans="1:8" ht="21.5" x14ac:dyDescent="0.45">
      <c r="A45" s="66" t="s">
        <v>63</v>
      </c>
      <c r="B45" s="66">
        <v>22</v>
      </c>
      <c r="C45" s="66">
        <v>4</v>
      </c>
      <c r="D45" s="67">
        <v>18</v>
      </c>
      <c r="E45" s="66">
        <v>3.5</v>
      </c>
      <c r="F45" s="68">
        <f t="shared" si="1"/>
        <v>0.81818181818181823</v>
      </c>
      <c r="G45" s="68">
        <f t="shared" si="1"/>
        <v>0.875</v>
      </c>
      <c r="H45" s="65"/>
    </row>
    <row r="46" spans="1:8" ht="21.5" x14ac:dyDescent="0.45">
      <c r="A46" s="66" t="s">
        <v>41</v>
      </c>
      <c r="B46" s="66">
        <v>38</v>
      </c>
      <c r="C46" s="66">
        <v>64</v>
      </c>
      <c r="D46" s="67">
        <v>33</v>
      </c>
      <c r="E46" s="66">
        <v>59.8</v>
      </c>
      <c r="F46" s="68">
        <f t="shared" si="1"/>
        <v>0.86842105263157898</v>
      </c>
      <c r="G46" s="68">
        <f t="shared" si="1"/>
        <v>0.93437499999999996</v>
      </c>
      <c r="H46" s="65"/>
    </row>
    <row r="47" spans="1:8" ht="21.5" x14ac:dyDescent="0.45">
      <c r="A47" s="66" t="s">
        <v>16</v>
      </c>
      <c r="B47" s="66">
        <v>36</v>
      </c>
      <c r="C47" s="66">
        <v>95.6</v>
      </c>
      <c r="D47" s="67">
        <v>31</v>
      </c>
      <c r="E47" s="66">
        <v>90</v>
      </c>
      <c r="F47" s="68">
        <f t="shared" si="1"/>
        <v>0.86111111111111116</v>
      </c>
      <c r="G47" s="68">
        <f t="shared" si="1"/>
        <v>0.94142259414225948</v>
      </c>
      <c r="H47" s="65"/>
    </row>
    <row r="48" spans="1:8" ht="21.5" x14ac:dyDescent="0.45">
      <c r="A48" s="66" t="s">
        <v>34</v>
      </c>
      <c r="B48" s="66">
        <v>13</v>
      </c>
      <c r="C48" s="66">
        <v>31.4</v>
      </c>
      <c r="D48" s="67">
        <v>9</v>
      </c>
      <c r="E48" s="66">
        <v>27.3</v>
      </c>
      <c r="F48" s="68">
        <f t="shared" si="1"/>
        <v>0.69230769230769229</v>
      </c>
      <c r="G48" s="68">
        <f t="shared" si="1"/>
        <v>0.86942675159235672</v>
      </c>
      <c r="H48" s="65"/>
    </row>
    <row r="49" spans="1:8" ht="21.5" x14ac:dyDescent="0.45">
      <c r="A49" s="66" t="s">
        <v>19</v>
      </c>
      <c r="B49" s="66">
        <v>25</v>
      </c>
      <c r="C49" s="66">
        <v>24.9</v>
      </c>
      <c r="D49" s="67">
        <v>24</v>
      </c>
      <c r="E49" s="66">
        <v>16.8</v>
      </c>
      <c r="F49" s="68">
        <f t="shared" si="1"/>
        <v>0.96</v>
      </c>
      <c r="G49" s="68">
        <f t="shared" si="1"/>
        <v>0.67469879518072295</v>
      </c>
      <c r="H49" s="65"/>
    </row>
    <row r="50" spans="1:8" ht="21.5" x14ac:dyDescent="0.45">
      <c r="A50" s="66" t="s">
        <v>61</v>
      </c>
      <c r="B50" s="66">
        <v>26</v>
      </c>
      <c r="C50" s="66">
        <v>17.5</v>
      </c>
      <c r="D50" s="67">
        <v>25</v>
      </c>
      <c r="E50" s="66">
        <v>17.2</v>
      </c>
      <c r="F50" s="68">
        <f t="shared" si="1"/>
        <v>0.96153846153846156</v>
      </c>
      <c r="G50" s="68">
        <f t="shared" si="1"/>
        <v>0.98285714285714276</v>
      </c>
      <c r="H50" s="65"/>
    </row>
    <row r="51" spans="1:8" ht="21.5" x14ac:dyDescent="0.45">
      <c r="A51" s="66" t="s">
        <v>69</v>
      </c>
      <c r="B51" s="66">
        <v>16</v>
      </c>
      <c r="C51" s="66">
        <v>38.799999999999997</v>
      </c>
      <c r="D51" s="67">
        <v>14</v>
      </c>
      <c r="E51" s="66">
        <v>19.600000000000001</v>
      </c>
      <c r="F51" s="68">
        <f t="shared" si="1"/>
        <v>0.875</v>
      </c>
      <c r="G51" s="68">
        <f t="shared" si="1"/>
        <v>0.50515463917525782</v>
      </c>
      <c r="H51" s="65"/>
    </row>
    <row r="52" spans="1:8" ht="12.5" x14ac:dyDescent="0.25">
      <c r="A52" s="110"/>
      <c r="B52" s="110"/>
      <c r="C52" s="110"/>
      <c r="D52" s="110"/>
      <c r="E52" s="110"/>
    </row>
  </sheetData>
  <autoFilter ref="A2:H51" xr:uid="{00000000-0009-0000-0000-000009000000}"/>
  <mergeCells count="2">
    <mergeCell ref="A1:H1"/>
    <mergeCell ref="A52:E52"/>
  </mergeCells>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67"/>
  <sheetViews>
    <sheetView showGridLines="0" workbookViewId="0">
      <selection activeCell="K22" sqref="K22"/>
    </sheetView>
  </sheetViews>
  <sheetFormatPr defaultColWidth="9" defaultRowHeight="22" customHeight="1" x14ac:dyDescent="0.25"/>
  <cols>
    <col min="1" max="1" width="4.08984375" style="14" customWidth="1"/>
    <col min="2" max="2" width="10.90625" style="14" customWidth="1"/>
    <col min="3" max="3" width="9.90625" style="14" customWidth="1"/>
    <col min="4" max="4" width="10.08984375" style="15" customWidth="1"/>
    <col min="5" max="5" width="11.26953125" style="14" customWidth="1"/>
    <col min="6" max="6" width="12.7265625" style="14" customWidth="1"/>
    <col min="7" max="7" width="11.26953125" style="14" customWidth="1"/>
    <col min="8" max="8" width="10.7265625" style="14" customWidth="1"/>
    <col min="9" max="11" width="8.7265625" style="16" customWidth="1"/>
    <col min="12" max="12" width="10.90625" style="16" customWidth="1"/>
    <col min="13" max="13" width="8.7265625" style="16" customWidth="1"/>
    <col min="14" max="17" width="8.7265625" style="14" customWidth="1"/>
    <col min="18" max="18" width="9.90625" style="14" customWidth="1"/>
    <col min="19" max="19" width="4.08984375" style="14" customWidth="1"/>
    <col min="20" max="20" width="9.36328125" style="17" customWidth="1"/>
    <col min="21" max="16384" width="9" style="14"/>
  </cols>
  <sheetData>
    <row r="1" spans="1:20" s="12" customFormat="1" ht="27.5" x14ac:dyDescent="0.25">
      <c r="A1" s="12" t="s">
        <v>0</v>
      </c>
      <c r="B1" s="103" t="s">
        <v>83</v>
      </c>
      <c r="C1" s="103"/>
      <c r="D1" s="103"/>
      <c r="E1" s="103"/>
      <c r="F1" s="103"/>
      <c r="G1" s="103"/>
      <c r="H1" s="103"/>
      <c r="I1" s="103"/>
      <c r="J1" s="103"/>
      <c r="K1" s="103"/>
      <c r="L1" s="103"/>
      <c r="M1" s="103"/>
      <c r="N1" s="103"/>
      <c r="O1" s="103"/>
      <c r="P1" s="103"/>
      <c r="Q1" s="103"/>
      <c r="R1" s="103"/>
      <c r="S1" s="12" t="s">
        <v>0</v>
      </c>
      <c r="T1" s="58"/>
    </row>
    <row r="2" spans="1:20" s="12" customFormat="1" ht="25.5" x14ac:dyDescent="0.25">
      <c r="E2" s="18"/>
      <c r="F2" s="18"/>
      <c r="H2" s="19" t="s">
        <v>84</v>
      </c>
      <c r="I2" s="18" t="s">
        <v>141</v>
      </c>
      <c r="J2" s="18"/>
      <c r="K2" s="18"/>
      <c r="L2" s="18"/>
      <c r="M2" s="18"/>
      <c r="N2" s="18"/>
      <c r="O2" s="18"/>
      <c r="P2" s="18"/>
      <c r="Q2" s="18"/>
      <c r="R2" s="49"/>
      <c r="T2" s="58"/>
    </row>
    <row r="3" spans="1:20" s="12" customFormat="1" ht="16.5" customHeight="1" x14ac:dyDescent="0.25">
      <c r="E3" s="18"/>
      <c r="F3" s="18"/>
      <c r="H3" s="19"/>
      <c r="I3" s="18"/>
      <c r="J3" s="18"/>
      <c r="K3" s="18"/>
      <c r="L3" s="18"/>
      <c r="M3" s="18"/>
      <c r="N3" s="18"/>
      <c r="O3" s="18"/>
      <c r="P3" s="18"/>
      <c r="Q3" s="18"/>
      <c r="R3" s="49"/>
      <c r="T3" s="58"/>
    </row>
    <row r="4" spans="1:20" s="12" customFormat="1" ht="35.25" customHeight="1" x14ac:dyDescent="0.25">
      <c r="B4" s="104" t="s">
        <v>142</v>
      </c>
      <c r="C4" s="104"/>
      <c r="D4" s="104"/>
      <c r="E4" s="104"/>
      <c r="F4" s="104"/>
      <c r="H4" s="20" t="s">
        <v>1</v>
      </c>
      <c r="I4" s="47" t="s">
        <v>2</v>
      </c>
      <c r="J4" s="47" t="s">
        <v>87</v>
      </c>
      <c r="K4" s="47" t="s">
        <v>88</v>
      </c>
      <c r="L4" s="47" t="s">
        <v>89</v>
      </c>
      <c r="M4" s="47" t="s">
        <v>90</v>
      </c>
      <c r="N4" s="18"/>
      <c r="O4" s="106" t="s">
        <v>143</v>
      </c>
      <c r="P4" s="107"/>
      <c r="Q4" s="107"/>
      <c r="R4" s="107"/>
      <c r="T4" s="58"/>
    </row>
    <row r="5" spans="1:20" s="12" customFormat="1" ht="25.5" x14ac:dyDescent="0.25">
      <c r="B5" s="21"/>
      <c r="C5" s="22" t="s">
        <v>92</v>
      </c>
      <c r="D5" s="22" t="s">
        <v>77</v>
      </c>
      <c r="E5" s="22" t="s">
        <v>93</v>
      </c>
      <c r="F5" s="22" t="s">
        <v>94</v>
      </c>
      <c r="H5" s="20" t="s">
        <v>95</v>
      </c>
      <c r="I5" s="48">
        <v>78.7</v>
      </c>
      <c r="J5" s="48">
        <v>107.8</v>
      </c>
      <c r="K5" s="48">
        <v>285.10000000000002</v>
      </c>
      <c r="L5" s="48">
        <v>678.87266799999998</v>
      </c>
      <c r="M5" s="48">
        <v>1150.4726680000001</v>
      </c>
      <c r="N5" s="49"/>
      <c r="O5" s="107"/>
      <c r="P5" s="107"/>
      <c r="Q5" s="107"/>
      <c r="R5" s="107"/>
      <c r="T5" s="58"/>
    </row>
    <row r="6" spans="1:20" s="12" customFormat="1" ht="25.5" x14ac:dyDescent="0.25">
      <c r="B6" s="23" t="s">
        <v>96</v>
      </c>
      <c r="C6" s="22">
        <v>242.93</v>
      </c>
      <c r="D6" s="22">
        <v>109.32</v>
      </c>
      <c r="E6" s="24">
        <v>0.2195</v>
      </c>
      <c r="F6" s="24">
        <v>0.2195</v>
      </c>
      <c r="H6" s="20" t="s">
        <v>97</v>
      </c>
      <c r="I6" s="50">
        <f>IFERROR((I12-I5)/I5,0)</f>
        <v>0.5692503176620074</v>
      </c>
      <c r="J6" s="50">
        <f>IFERROR((J12-J5)/J5,0)</f>
        <v>0.25602968460111325</v>
      </c>
      <c r="K6" s="50">
        <f>IFERROR((K12-K5)/K5,0)</f>
        <v>-1</v>
      </c>
      <c r="L6" s="50">
        <f>IFERROR((L12-L5)/L5,0)</f>
        <v>1.6510126049145937</v>
      </c>
      <c r="M6" s="50">
        <f>IFERROR((M12-M5)/M5,0)</f>
        <v>0.78935150504592411</v>
      </c>
      <c r="N6" s="49"/>
      <c r="O6" s="107"/>
      <c r="P6" s="107"/>
      <c r="Q6" s="107"/>
      <c r="R6" s="107"/>
      <c r="T6" s="58"/>
    </row>
    <row r="7" spans="1:20" s="12" customFormat="1" ht="25.5" x14ac:dyDescent="0.25">
      <c r="B7" s="23" t="s">
        <v>98</v>
      </c>
      <c r="C7" s="22">
        <v>74.75</v>
      </c>
      <c r="D7" s="22">
        <v>39.5</v>
      </c>
      <c r="E7" s="22" t="s">
        <v>101</v>
      </c>
      <c r="F7" s="24">
        <v>0.19646233595075499</v>
      </c>
      <c r="H7" s="20" t="s">
        <v>99</v>
      </c>
      <c r="I7" s="51">
        <f>COUNTIF(I11:I1048576,"=0")</f>
        <v>8</v>
      </c>
      <c r="J7" s="51">
        <f t="shared" ref="J7:M7" si="0">COUNTIF(J11:J1048576,"=0")</f>
        <v>34</v>
      </c>
      <c r="K7" s="51">
        <f t="shared" si="0"/>
        <v>8</v>
      </c>
      <c r="L7" s="51">
        <f t="shared" si="0"/>
        <v>20</v>
      </c>
      <c r="M7" s="51">
        <f t="shared" si="0"/>
        <v>5</v>
      </c>
      <c r="N7" s="49"/>
      <c r="O7" s="107"/>
      <c r="P7" s="107"/>
      <c r="Q7" s="107"/>
      <c r="R7" s="107"/>
      <c r="T7" s="58"/>
    </row>
    <row r="8" spans="1:20" s="12" customFormat="1" ht="25.5" x14ac:dyDescent="0.25">
      <c r="B8" s="23" t="s">
        <v>100</v>
      </c>
      <c r="C8" s="25">
        <v>1.3460106050420499</v>
      </c>
      <c r="D8" s="22" t="s">
        <v>101</v>
      </c>
      <c r="E8" s="22" t="s">
        <v>101</v>
      </c>
      <c r="F8" s="22" t="s">
        <v>101</v>
      </c>
      <c r="H8" s="20" t="s">
        <v>144</v>
      </c>
      <c r="I8" s="52">
        <v>0.6938202247191011</v>
      </c>
      <c r="J8" s="52">
        <v>5.6416666666666666</v>
      </c>
      <c r="K8" s="52" t="s">
        <v>113</v>
      </c>
      <c r="L8" s="52">
        <v>8.57</v>
      </c>
      <c r="M8" s="52">
        <v>4.9966019417475724</v>
      </c>
      <c r="N8" s="49"/>
      <c r="O8" s="107"/>
      <c r="P8" s="107"/>
      <c r="Q8" s="107"/>
      <c r="R8" s="107"/>
      <c r="T8" s="58"/>
    </row>
    <row r="9" spans="1:20" s="12" customFormat="1" ht="16.5" customHeight="1" x14ac:dyDescent="0.25">
      <c r="B9" s="26"/>
      <c r="C9" s="27"/>
      <c r="D9" s="27"/>
      <c r="E9" s="27"/>
      <c r="F9" s="27"/>
      <c r="G9" s="27"/>
      <c r="H9" s="27"/>
      <c r="I9" s="53"/>
      <c r="J9" s="53"/>
      <c r="K9" s="53"/>
      <c r="L9" s="53"/>
      <c r="M9" s="53"/>
      <c r="N9" s="27"/>
      <c r="O9" s="27"/>
      <c r="P9" s="27"/>
      <c r="Q9" s="27"/>
      <c r="R9" s="27"/>
      <c r="T9" s="58"/>
    </row>
    <row r="10" spans="1:20" s="13" customFormat="1" ht="22" customHeight="1" x14ac:dyDescent="0.25">
      <c r="A10" s="28"/>
      <c r="B10" s="29"/>
      <c r="C10" s="29"/>
      <c r="D10" s="30"/>
      <c r="E10" s="29"/>
      <c r="F10" s="29"/>
      <c r="G10" s="29"/>
      <c r="H10" s="29"/>
      <c r="I10" s="111" t="s">
        <v>103</v>
      </c>
      <c r="J10" s="111"/>
      <c r="K10" s="111"/>
      <c r="L10" s="111"/>
      <c r="M10" s="111"/>
      <c r="N10" s="111" t="s">
        <v>105</v>
      </c>
      <c r="O10" s="111"/>
      <c r="P10" s="111"/>
      <c r="Q10" s="111"/>
      <c r="R10" s="54"/>
      <c r="S10" s="28"/>
      <c r="T10" s="59"/>
    </row>
    <row r="11" spans="1:20" s="13" customFormat="1" ht="38.25" customHeight="1" x14ac:dyDescent="0.25">
      <c r="A11" s="31"/>
      <c r="B11" s="32" t="s">
        <v>3</v>
      </c>
      <c r="C11" s="32" t="s">
        <v>4</v>
      </c>
      <c r="D11" s="33" t="s">
        <v>5</v>
      </c>
      <c r="E11" s="32" t="s">
        <v>106</v>
      </c>
      <c r="F11" s="32" t="s">
        <v>107</v>
      </c>
      <c r="G11" s="32" t="s">
        <v>145</v>
      </c>
      <c r="H11" s="34" t="s">
        <v>146</v>
      </c>
      <c r="I11" s="32" t="s">
        <v>2</v>
      </c>
      <c r="J11" s="32" t="s">
        <v>87</v>
      </c>
      <c r="K11" s="32" t="s">
        <v>88</v>
      </c>
      <c r="L11" s="32" t="s">
        <v>89</v>
      </c>
      <c r="M11" s="34" t="s">
        <v>108</v>
      </c>
      <c r="N11" s="32" t="s">
        <v>2</v>
      </c>
      <c r="O11" s="32" t="s">
        <v>87</v>
      </c>
      <c r="P11" s="32" t="s">
        <v>88</v>
      </c>
      <c r="Q11" s="32" t="s">
        <v>89</v>
      </c>
      <c r="R11" s="60" t="s">
        <v>147</v>
      </c>
      <c r="S11" s="31"/>
      <c r="T11" s="59" t="s">
        <v>110</v>
      </c>
    </row>
    <row r="12" spans="1:20" s="13" customFormat="1" ht="29.25" customHeight="1" x14ac:dyDescent="0.25">
      <c r="A12" s="31"/>
      <c r="B12" s="35" t="s">
        <v>6</v>
      </c>
      <c r="C12" s="35" t="s">
        <v>6</v>
      </c>
      <c r="D12" s="36">
        <f>D21+D29+D37+D44+D51+D59+D67</f>
        <v>23429.454477690513</v>
      </c>
      <c r="E12" s="36">
        <f>E21+E29+E37+E44+E51+E59+E67</f>
        <v>11120.920983606558</v>
      </c>
      <c r="F12" s="37">
        <f>E12/D12</f>
        <v>0.47465556631699984</v>
      </c>
      <c r="G12" s="37" t="s">
        <v>148</v>
      </c>
      <c r="H12" s="38">
        <f ca="1">F12*_xlfn.DAYS("2024-10-31","2024-10-10")/_xlfn.DAYS(NOW(),"2024-10-10")</f>
        <v>2.2654015665129538E-2</v>
      </c>
      <c r="I12" s="36">
        <f t="shared" ref="I12:Q12" si="1">I21+I29+I37+I44+I51+I59+I67</f>
        <v>123.49999999999999</v>
      </c>
      <c r="J12" s="36">
        <f t="shared" si="1"/>
        <v>135.4</v>
      </c>
      <c r="K12" s="36">
        <f t="shared" si="1"/>
        <v>0</v>
      </c>
      <c r="L12" s="36">
        <f t="shared" si="1"/>
        <v>1799.7</v>
      </c>
      <c r="M12" s="55">
        <f t="shared" si="1"/>
        <v>2058.6</v>
      </c>
      <c r="N12" s="36">
        <f t="shared" si="1"/>
        <v>1594.9990163934424</v>
      </c>
      <c r="O12" s="36">
        <f t="shared" si="1"/>
        <v>1160.0219672131154</v>
      </c>
      <c r="P12" s="36">
        <f t="shared" si="1"/>
        <v>4386.8999999999996</v>
      </c>
      <c r="Q12" s="36">
        <f t="shared" si="1"/>
        <v>3978.9999999999991</v>
      </c>
      <c r="R12" s="61" t="s">
        <v>148</v>
      </c>
      <c r="S12" s="31"/>
      <c r="T12" s="17" t="s">
        <v>111</v>
      </c>
    </row>
    <row r="13" spans="1:20" ht="22" customHeight="1" x14ac:dyDescent="0.25">
      <c r="A13" s="15"/>
      <c r="B13" s="39" t="s">
        <v>7</v>
      </c>
      <c r="C13" s="39" t="s">
        <v>55</v>
      </c>
      <c r="D13" s="40">
        <v>268.26367784282002</v>
      </c>
      <c r="E13" s="40">
        <f t="shared" ref="E13:E20" si="2">SUM(N13:Q13)</f>
        <v>223.03737704918029</v>
      </c>
      <c r="F13" s="41">
        <f t="shared" ref="F13:F67" si="3">E13/D13</f>
        <v>0.83141101636525483</v>
      </c>
      <c r="G13" s="41">
        <f>F13*R13</f>
        <v>0.73463477406033917</v>
      </c>
      <c r="H13" s="42">
        <f t="shared" ref="H13:H66" ca="1" si="4">F13*_xlfn.DAYS("2024-10-31","2024-10-10")/_xlfn.DAYS(NOW(),"2024-10-10")</f>
        <v>3.9680980326523528E-2</v>
      </c>
      <c r="I13" s="40">
        <v>0</v>
      </c>
      <c r="J13" s="40">
        <v>0</v>
      </c>
      <c r="K13" s="40" t="s">
        <v>113</v>
      </c>
      <c r="L13" s="40">
        <v>13.9</v>
      </c>
      <c r="M13" s="56">
        <f t="shared" ref="M13:M20" si="5">SUM(I13:L13)</f>
        <v>13.9</v>
      </c>
      <c r="N13" s="40">
        <v>13.318032786885199</v>
      </c>
      <c r="O13" s="40">
        <v>11.619344262295099</v>
      </c>
      <c r="P13" s="40">
        <v>184.2</v>
      </c>
      <c r="Q13" s="40">
        <v>13.9</v>
      </c>
      <c r="R13" s="61">
        <v>0.88360000000000005</v>
      </c>
      <c r="S13" s="15"/>
      <c r="T13" s="17" t="s">
        <v>112</v>
      </c>
    </row>
    <row r="14" spans="1:20" ht="22" customHeight="1" x14ac:dyDescent="0.25">
      <c r="A14" s="15"/>
      <c r="B14" s="39" t="s">
        <v>7</v>
      </c>
      <c r="C14" s="39" t="s">
        <v>58</v>
      </c>
      <c r="D14" s="40">
        <v>539.00697040390696</v>
      </c>
      <c r="E14" s="40">
        <f t="shared" si="2"/>
        <v>181.9370491803279</v>
      </c>
      <c r="F14" s="41">
        <f t="shared" si="3"/>
        <v>0.3375411806715462</v>
      </c>
      <c r="G14" s="41">
        <f t="shared" ref="G14:G66" si="6">F14*R14</f>
        <v>0.27762762110234673</v>
      </c>
      <c r="H14" s="42">
        <f t="shared" ca="1" si="4"/>
        <v>1.6109919986596524E-2</v>
      </c>
      <c r="I14" s="40">
        <v>0.8</v>
      </c>
      <c r="J14" s="40">
        <v>0</v>
      </c>
      <c r="K14" s="40" t="s">
        <v>113</v>
      </c>
      <c r="L14" s="40">
        <v>52.5</v>
      </c>
      <c r="M14" s="56">
        <f t="shared" si="5"/>
        <v>53.3</v>
      </c>
      <c r="N14" s="40">
        <v>55.385573770491803</v>
      </c>
      <c r="O14" s="40">
        <v>58.851475409836098</v>
      </c>
      <c r="P14" s="40">
        <v>15.2</v>
      </c>
      <c r="Q14" s="40">
        <v>52.5</v>
      </c>
      <c r="R14" s="61">
        <v>0.82250000000000001</v>
      </c>
      <c r="S14" s="15"/>
      <c r="T14" s="17" t="s">
        <v>149</v>
      </c>
    </row>
    <row r="15" spans="1:20" ht="22" customHeight="1" x14ac:dyDescent="0.25">
      <c r="A15" s="15"/>
      <c r="B15" s="39" t="s">
        <v>7</v>
      </c>
      <c r="C15" s="39" t="s">
        <v>8</v>
      </c>
      <c r="D15" s="40">
        <v>434.31848497211303</v>
      </c>
      <c r="E15" s="40">
        <f t="shared" si="2"/>
        <v>530.44491803278697</v>
      </c>
      <c r="F15" s="41">
        <f t="shared" si="3"/>
        <v>1.2213270592589356</v>
      </c>
      <c r="G15" s="41">
        <f t="shared" si="6"/>
        <v>2.8241966918303625</v>
      </c>
      <c r="H15" s="42">
        <f t="shared" ca="1" si="4"/>
        <v>5.8290609646449193E-2</v>
      </c>
      <c r="I15" s="40">
        <v>9.6999999999999993</v>
      </c>
      <c r="J15" s="40">
        <v>12</v>
      </c>
      <c r="K15" s="40" t="s">
        <v>113</v>
      </c>
      <c r="L15" s="40">
        <v>257.5</v>
      </c>
      <c r="M15" s="56">
        <f t="shared" si="5"/>
        <v>279.2</v>
      </c>
      <c r="N15" s="40">
        <v>72.234426229508202</v>
      </c>
      <c r="O15" s="40">
        <v>55.410491803278703</v>
      </c>
      <c r="P15" s="40">
        <v>145.30000000000001</v>
      </c>
      <c r="Q15" s="40">
        <v>257.5</v>
      </c>
      <c r="R15" s="61">
        <v>2.3123999999999998</v>
      </c>
      <c r="S15" s="15"/>
      <c r="T15" s="62" t="s">
        <v>150</v>
      </c>
    </row>
    <row r="16" spans="1:20" ht="22" customHeight="1" x14ac:dyDescent="0.25">
      <c r="A16" s="15"/>
      <c r="B16" s="39" t="s">
        <v>7</v>
      </c>
      <c r="C16" s="39" t="s">
        <v>40</v>
      </c>
      <c r="D16" s="40">
        <v>528.77494401167701</v>
      </c>
      <c r="E16" s="40">
        <f t="shared" si="2"/>
        <v>123.95704918032789</v>
      </c>
      <c r="F16" s="41">
        <f t="shared" si="3"/>
        <v>0.23442307655483488</v>
      </c>
      <c r="G16" s="41">
        <f t="shared" si="6"/>
        <v>0.27985426879116188</v>
      </c>
      <c r="H16" s="42">
        <f t="shared" ca="1" si="4"/>
        <v>1.1188374108298937E-2</v>
      </c>
      <c r="I16" s="40">
        <v>0</v>
      </c>
      <c r="J16" s="40">
        <v>0</v>
      </c>
      <c r="K16" s="40" t="s">
        <v>113</v>
      </c>
      <c r="L16" s="40">
        <v>25.6</v>
      </c>
      <c r="M16" s="56">
        <f t="shared" si="5"/>
        <v>25.6</v>
      </c>
      <c r="N16" s="40">
        <v>37.310491803278701</v>
      </c>
      <c r="O16" s="40">
        <v>2.24655737704918</v>
      </c>
      <c r="P16" s="40">
        <v>27.2</v>
      </c>
      <c r="Q16" s="40">
        <v>57.2</v>
      </c>
      <c r="R16" s="61">
        <v>1.1938</v>
      </c>
      <c r="S16" s="15"/>
    </row>
    <row r="17" spans="1:19" ht="22" customHeight="1" x14ac:dyDescent="0.25">
      <c r="A17" s="15"/>
      <c r="B17" s="39" t="s">
        <v>7</v>
      </c>
      <c r="C17" s="39" t="s">
        <v>11</v>
      </c>
      <c r="D17" s="40">
        <v>589.39060725433706</v>
      </c>
      <c r="E17" s="40">
        <f t="shared" si="2"/>
        <v>40.807868852459023</v>
      </c>
      <c r="F17" s="41">
        <f t="shared" si="3"/>
        <v>6.9237392571560599E-2</v>
      </c>
      <c r="G17" s="41">
        <f t="shared" si="6"/>
        <v>4.7185283037518545E-2</v>
      </c>
      <c r="H17" s="42">
        <f t="shared" ca="1" si="4"/>
        <v>3.3045119181881193E-3</v>
      </c>
      <c r="I17" s="40">
        <v>0.2</v>
      </c>
      <c r="J17" s="40">
        <v>0</v>
      </c>
      <c r="K17" s="40" t="s">
        <v>113</v>
      </c>
      <c r="L17" s="40">
        <v>19.7</v>
      </c>
      <c r="M17" s="56">
        <f t="shared" si="5"/>
        <v>19.899999999999999</v>
      </c>
      <c r="N17" s="40">
        <v>2.50786885245902</v>
      </c>
      <c r="O17" s="40">
        <v>0</v>
      </c>
      <c r="P17" s="40">
        <v>18.600000000000001</v>
      </c>
      <c r="Q17" s="40">
        <v>19.7</v>
      </c>
      <c r="R17" s="61">
        <v>0.68149999999999999</v>
      </c>
      <c r="S17" s="15"/>
    </row>
    <row r="18" spans="1:19" ht="22" customHeight="1" x14ac:dyDescent="0.25">
      <c r="A18" s="15"/>
      <c r="B18" s="39" t="s">
        <v>7</v>
      </c>
      <c r="C18" s="39" t="s">
        <v>80</v>
      </c>
      <c r="D18" s="40">
        <v>124.37451469561501</v>
      </c>
      <c r="E18" s="40">
        <f t="shared" si="2"/>
        <v>34.043278688524595</v>
      </c>
      <c r="F18" s="41">
        <f t="shared" si="3"/>
        <v>0.27371587155004867</v>
      </c>
      <c r="G18" s="41">
        <f t="shared" si="6"/>
        <v>0.22770423354248548</v>
      </c>
      <c r="H18" s="42">
        <f t="shared" ca="1" si="4"/>
        <v>1.3063712051252323E-2</v>
      </c>
      <c r="I18" s="40">
        <v>0.8</v>
      </c>
      <c r="J18" s="40">
        <v>0</v>
      </c>
      <c r="K18" s="40" t="s">
        <v>113</v>
      </c>
      <c r="L18" s="40">
        <v>0</v>
      </c>
      <c r="M18" s="56">
        <f t="shared" si="5"/>
        <v>0.8</v>
      </c>
      <c r="N18" s="40">
        <v>15.1432786885246</v>
      </c>
      <c r="O18" s="40">
        <v>0</v>
      </c>
      <c r="P18" s="40">
        <v>18.899999999999999</v>
      </c>
      <c r="Q18" s="40">
        <v>0</v>
      </c>
      <c r="R18" s="61">
        <v>0.83189999999999997</v>
      </c>
      <c r="S18" s="15"/>
    </row>
    <row r="19" spans="1:19" ht="22" customHeight="1" x14ac:dyDescent="0.25">
      <c r="A19" s="15"/>
      <c r="B19" s="39" t="s">
        <v>7</v>
      </c>
      <c r="C19" s="39" t="s">
        <v>81</v>
      </c>
      <c r="D19" s="40">
        <v>656.07333218972201</v>
      </c>
      <c r="E19" s="40">
        <f t="shared" si="2"/>
        <v>191.5465573770492</v>
      </c>
      <c r="F19" s="41">
        <f t="shared" si="3"/>
        <v>0.29195906612716599</v>
      </c>
      <c r="G19" s="41">
        <f t="shared" si="6"/>
        <v>0.23464750144640328</v>
      </c>
      <c r="H19" s="42">
        <f t="shared" ca="1" si="4"/>
        <v>1.3934409974251103E-2</v>
      </c>
      <c r="I19" s="40">
        <v>0</v>
      </c>
      <c r="J19" s="40">
        <v>0</v>
      </c>
      <c r="K19" s="40" t="s">
        <v>113</v>
      </c>
      <c r="L19" s="40">
        <v>0</v>
      </c>
      <c r="M19" s="56">
        <f t="shared" si="5"/>
        <v>0</v>
      </c>
      <c r="N19" s="40">
        <v>68.370491803278696</v>
      </c>
      <c r="O19" s="40">
        <v>84.576065573770506</v>
      </c>
      <c r="P19" s="40">
        <v>38.6</v>
      </c>
      <c r="Q19" s="40">
        <v>0</v>
      </c>
      <c r="R19" s="61">
        <v>0.80369999999999997</v>
      </c>
      <c r="S19" s="15"/>
    </row>
    <row r="20" spans="1:19" ht="22" customHeight="1" x14ac:dyDescent="0.25">
      <c r="A20" s="15"/>
      <c r="B20" s="39" t="s">
        <v>7</v>
      </c>
      <c r="C20" s="39" t="s">
        <v>61</v>
      </c>
      <c r="D20" s="40">
        <v>200.602794056959</v>
      </c>
      <c r="E20" s="40">
        <f t="shared" si="2"/>
        <v>5.3275409836065597</v>
      </c>
      <c r="F20" s="41">
        <f t="shared" si="3"/>
        <v>2.6557660917194713E-2</v>
      </c>
      <c r="G20" s="41">
        <f t="shared" si="6"/>
        <v>1.6601193839338415E-2</v>
      </c>
      <c r="H20" s="42">
        <f t="shared" ca="1" si="4"/>
        <v>1.2675247255933841E-3</v>
      </c>
      <c r="I20" s="40">
        <v>0.5</v>
      </c>
      <c r="J20" s="40">
        <v>0</v>
      </c>
      <c r="K20" s="40" t="s">
        <v>113</v>
      </c>
      <c r="L20" s="40">
        <v>0</v>
      </c>
      <c r="M20" s="56">
        <f t="shared" si="5"/>
        <v>0.5</v>
      </c>
      <c r="N20" s="40">
        <v>5.3275409836065597</v>
      </c>
      <c r="O20" s="40">
        <v>0</v>
      </c>
      <c r="P20" s="40">
        <v>0</v>
      </c>
      <c r="Q20" s="40">
        <v>0</v>
      </c>
      <c r="R20" s="61">
        <v>0.62509999999999999</v>
      </c>
      <c r="S20" s="15"/>
    </row>
    <row r="21" spans="1:19" ht="22" customHeight="1" x14ac:dyDescent="0.25">
      <c r="A21" s="15"/>
      <c r="B21" s="43" t="s">
        <v>7</v>
      </c>
      <c r="C21" s="43" t="s">
        <v>7</v>
      </c>
      <c r="D21" s="44">
        <f>SUM(D13:D20)</f>
        <v>3340.8053254271495</v>
      </c>
      <c r="E21" s="44">
        <f>SUM(E13:E20)</f>
        <v>1331.1016393442624</v>
      </c>
      <c r="F21" s="45">
        <f t="shared" si="3"/>
        <v>0.39843735557206406</v>
      </c>
      <c r="G21" s="45" t="s">
        <v>148</v>
      </c>
      <c r="H21" s="46">
        <f t="shared" ca="1" si="4"/>
        <v>1.901632833412124E-2</v>
      </c>
      <c r="I21" s="44">
        <f t="shared" ref="I21:Q21" si="7">SUM(I13:I20)</f>
        <v>12</v>
      </c>
      <c r="J21" s="44">
        <f t="shared" si="7"/>
        <v>12</v>
      </c>
      <c r="K21" s="44">
        <f t="shared" si="7"/>
        <v>0</v>
      </c>
      <c r="L21" s="44">
        <f t="shared" si="7"/>
        <v>369.2</v>
      </c>
      <c r="M21" s="57">
        <f t="shared" si="7"/>
        <v>393.2</v>
      </c>
      <c r="N21" s="44">
        <f t="shared" si="7"/>
        <v>269.59770491803278</v>
      </c>
      <c r="O21" s="44">
        <f t="shared" si="7"/>
        <v>212.70393442622958</v>
      </c>
      <c r="P21" s="44">
        <f t="shared" si="7"/>
        <v>448</v>
      </c>
      <c r="Q21" s="44">
        <f t="shared" si="7"/>
        <v>400.79999999999995</v>
      </c>
      <c r="R21" s="61" t="s">
        <v>148</v>
      </c>
      <c r="S21" s="15"/>
    </row>
    <row r="22" spans="1:19" ht="22" customHeight="1" x14ac:dyDescent="0.25">
      <c r="A22" s="15"/>
      <c r="B22" s="39" t="s">
        <v>15</v>
      </c>
      <c r="C22" s="39" t="s">
        <v>48</v>
      </c>
      <c r="D22" s="40">
        <v>413.96099696837501</v>
      </c>
      <c r="E22" s="40">
        <f t="shared" ref="E22:E28" si="8">SUM(N22:Q22)</f>
        <v>425.14688524590167</v>
      </c>
      <c r="F22" s="41">
        <f t="shared" si="3"/>
        <v>1.0270215995213221</v>
      </c>
      <c r="G22" s="41">
        <f t="shared" si="6"/>
        <v>1.0244540455225188</v>
      </c>
      <c r="H22" s="42">
        <f t="shared" ca="1" si="4"/>
        <v>4.9016939977154006E-2</v>
      </c>
      <c r="I22" s="40">
        <v>7.7</v>
      </c>
      <c r="J22" s="40">
        <v>24.9</v>
      </c>
      <c r="K22" s="40" t="s">
        <v>113</v>
      </c>
      <c r="L22" s="40">
        <v>20.5</v>
      </c>
      <c r="M22" s="56">
        <f t="shared" ref="M22:M28" si="9">SUM(I22:L22)</f>
        <v>53.1</v>
      </c>
      <c r="N22" s="40">
        <v>27.639344262295101</v>
      </c>
      <c r="O22" s="40">
        <v>53.907540983606602</v>
      </c>
      <c r="P22" s="40">
        <v>154.5</v>
      </c>
      <c r="Q22" s="40">
        <v>189.1</v>
      </c>
      <c r="R22" s="61">
        <v>0.99750000000000005</v>
      </c>
      <c r="S22" s="15"/>
    </row>
    <row r="23" spans="1:19" ht="22" customHeight="1" x14ac:dyDescent="0.25">
      <c r="A23" s="15"/>
      <c r="B23" s="39" t="s">
        <v>15</v>
      </c>
      <c r="C23" s="39" t="s">
        <v>16</v>
      </c>
      <c r="D23" s="40">
        <v>821.08328315190602</v>
      </c>
      <c r="E23" s="40">
        <f t="shared" si="8"/>
        <v>1520.1419672131146</v>
      </c>
      <c r="F23" s="41">
        <f t="shared" si="3"/>
        <v>1.8513858440494859</v>
      </c>
      <c r="G23" s="41">
        <f t="shared" si="6"/>
        <v>2.0800319957895974</v>
      </c>
      <c r="H23" s="42">
        <f t="shared" ca="1" si="4"/>
        <v>8.8361597102361827E-2</v>
      </c>
      <c r="I23" s="40">
        <v>1</v>
      </c>
      <c r="J23" s="40">
        <v>48</v>
      </c>
      <c r="K23" s="40" t="s">
        <v>113</v>
      </c>
      <c r="L23" s="40">
        <v>425</v>
      </c>
      <c r="M23" s="56">
        <f t="shared" si="9"/>
        <v>474</v>
      </c>
      <c r="N23" s="40">
        <v>45.3698360655738</v>
      </c>
      <c r="O23" s="40">
        <v>142.87213114754101</v>
      </c>
      <c r="P23" s="40">
        <v>464.6</v>
      </c>
      <c r="Q23" s="40">
        <v>867.3</v>
      </c>
      <c r="R23" s="61">
        <v>1.1234999999999999</v>
      </c>
      <c r="S23" s="15"/>
    </row>
    <row r="24" spans="1:19" ht="22" customHeight="1" x14ac:dyDescent="0.25">
      <c r="A24" s="15"/>
      <c r="B24" s="39" t="s">
        <v>15</v>
      </c>
      <c r="C24" s="39" t="s">
        <v>50</v>
      </c>
      <c r="D24" s="40">
        <v>354.72183766598198</v>
      </c>
      <c r="E24" s="40">
        <f t="shared" si="8"/>
        <v>86.506229508196753</v>
      </c>
      <c r="F24" s="41">
        <f t="shared" si="3"/>
        <v>0.24387060598635579</v>
      </c>
      <c r="G24" s="41">
        <f t="shared" si="6"/>
        <v>0.34568658398565932</v>
      </c>
      <c r="H24" s="42">
        <f t="shared" ca="1" si="4"/>
        <v>1.1639278922076071E-2</v>
      </c>
      <c r="I24" s="40">
        <v>1.3</v>
      </c>
      <c r="J24" s="40">
        <v>1.3</v>
      </c>
      <c r="K24" s="40" t="s">
        <v>113</v>
      </c>
      <c r="L24" s="40">
        <v>0</v>
      </c>
      <c r="M24" s="56">
        <f t="shared" si="9"/>
        <v>2.6</v>
      </c>
      <c r="N24" s="40">
        <v>43.084918032786902</v>
      </c>
      <c r="O24" s="40">
        <v>3.8213114754098401</v>
      </c>
      <c r="P24" s="40">
        <v>39.6</v>
      </c>
      <c r="Q24" s="40">
        <v>0</v>
      </c>
      <c r="R24" s="61">
        <v>1.4175</v>
      </c>
      <c r="S24" s="15"/>
    </row>
    <row r="25" spans="1:19" ht="22" customHeight="1" x14ac:dyDescent="0.25">
      <c r="A25" s="15"/>
      <c r="B25" s="39" t="s">
        <v>15</v>
      </c>
      <c r="C25" s="39" t="s">
        <v>63</v>
      </c>
      <c r="D25" s="40">
        <v>232.60300580997301</v>
      </c>
      <c r="E25" s="40">
        <f t="shared" si="8"/>
        <v>22.269508196721269</v>
      </c>
      <c r="F25" s="41">
        <f t="shared" si="3"/>
        <v>9.5740414528067322E-2</v>
      </c>
      <c r="G25" s="41">
        <f t="shared" si="6"/>
        <v>7.3887664912035966E-2</v>
      </c>
      <c r="H25" s="42">
        <f t="shared" ca="1" si="4"/>
        <v>4.5694288752032132E-3</v>
      </c>
      <c r="I25" s="40">
        <v>0</v>
      </c>
      <c r="J25" s="40">
        <v>0</v>
      </c>
      <c r="K25" s="40" t="s">
        <v>113</v>
      </c>
      <c r="L25" s="40">
        <v>0</v>
      </c>
      <c r="M25" s="56">
        <f t="shared" si="9"/>
        <v>0</v>
      </c>
      <c r="N25" s="40">
        <v>19.178032786885201</v>
      </c>
      <c r="O25" s="40">
        <v>1.0914754098360699</v>
      </c>
      <c r="P25" s="40">
        <v>2</v>
      </c>
      <c r="Q25" s="40">
        <v>0</v>
      </c>
      <c r="R25" s="61">
        <v>0.77175000000000005</v>
      </c>
      <c r="S25" s="15"/>
    </row>
    <row r="26" spans="1:19" ht="22" customHeight="1" x14ac:dyDescent="0.25">
      <c r="A26" s="15"/>
      <c r="B26" s="39" t="s">
        <v>15</v>
      </c>
      <c r="C26" s="39" t="s">
        <v>62</v>
      </c>
      <c r="D26" s="40">
        <v>438.68021338324297</v>
      </c>
      <c r="E26" s="40">
        <f t="shared" si="8"/>
        <v>341.6940983606558</v>
      </c>
      <c r="F26" s="41">
        <f t="shared" si="3"/>
        <v>0.77891386011099284</v>
      </c>
      <c r="G26" s="41">
        <f t="shared" si="6"/>
        <v>2.8461512448455677</v>
      </c>
      <c r="H26" s="42">
        <f t="shared" ca="1" si="4"/>
        <v>3.7175434232570109E-2</v>
      </c>
      <c r="I26" s="40">
        <v>7.6</v>
      </c>
      <c r="J26" s="40">
        <v>0.9</v>
      </c>
      <c r="K26" s="40" t="s">
        <v>113</v>
      </c>
      <c r="L26" s="40">
        <v>28.3</v>
      </c>
      <c r="M26" s="56">
        <f t="shared" si="9"/>
        <v>36.799999999999997</v>
      </c>
      <c r="N26" s="40">
        <v>66.889836065573803</v>
      </c>
      <c r="O26" s="40">
        <v>159.50426229508199</v>
      </c>
      <c r="P26" s="40">
        <v>24.5</v>
      </c>
      <c r="Q26" s="40">
        <v>90.8</v>
      </c>
      <c r="R26" s="61">
        <v>3.6539999999999999</v>
      </c>
      <c r="S26" s="15"/>
    </row>
    <row r="27" spans="1:19" ht="22" customHeight="1" x14ac:dyDescent="0.25">
      <c r="A27" s="15"/>
      <c r="B27" s="39" t="s">
        <v>15</v>
      </c>
      <c r="C27" s="39" t="s">
        <v>71</v>
      </c>
      <c r="D27" s="40">
        <v>337.80722229193901</v>
      </c>
      <c r="E27" s="40">
        <f t="shared" si="8"/>
        <v>212.41344262295081</v>
      </c>
      <c r="F27" s="41">
        <f t="shared" si="3"/>
        <v>0.62880077335759077</v>
      </c>
      <c r="G27" s="41">
        <f t="shared" si="6"/>
        <v>0.84510823939260205</v>
      </c>
      <c r="H27" s="42">
        <f t="shared" ca="1" si="4"/>
        <v>3.0010946001157741E-2</v>
      </c>
      <c r="I27" s="40">
        <v>-4.9000000000000004</v>
      </c>
      <c r="J27" s="40">
        <v>0</v>
      </c>
      <c r="K27" s="40" t="s">
        <v>113</v>
      </c>
      <c r="L27" s="40">
        <v>43</v>
      </c>
      <c r="M27" s="56">
        <f t="shared" si="9"/>
        <v>38.1</v>
      </c>
      <c r="N27" s="40">
        <v>18.8344262295082</v>
      </c>
      <c r="O27" s="40">
        <v>3.4790163934426199</v>
      </c>
      <c r="P27" s="40">
        <v>88.5</v>
      </c>
      <c r="Q27" s="40">
        <v>101.6</v>
      </c>
      <c r="R27" s="61">
        <v>1.3440000000000001</v>
      </c>
      <c r="S27" s="15"/>
    </row>
    <row r="28" spans="1:19" ht="22" customHeight="1" x14ac:dyDescent="0.25">
      <c r="A28" s="15"/>
      <c r="B28" s="39" t="s">
        <v>15</v>
      </c>
      <c r="C28" s="39" t="s">
        <v>18</v>
      </c>
      <c r="D28" s="40">
        <v>550.56318164254299</v>
      </c>
      <c r="E28" s="40">
        <f t="shared" si="8"/>
        <v>63.102295081967213</v>
      </c>
      <c r="F28" s="41">
        <f t="shared" si="3"/>
        <v>0.11461408460643636</v>
      </c>
      <c r="G28" s="41">
        <f t="shared" si="6"/>
        <v>9.9284450790325496E-2</v>
      </c>
      <c r="H28" s="42">
        <f t="shared" ca="1" si="4"/>
        <v>5.4702176743980993E-3</v>
      </c>
      <c r="I28" s="40">
        <v>2</v>
      </c>
      <c r="J28" s="40">
        <v>0</v>
      </c>
      <c r="K28" s="40" t="s">
        <v>113</v>
      </c>
      <c r="L28" s="40">
        <v>17.8</v>
      </c>
      <c r="M28" s="56">
        <f t="shared" si="9"/>
        <v>19.8</v>
      </c>
      <c r="N28" s="40">
        <v>9.8022950819672108</v>
      </c>
      <c r="O28" s="40">
        <v>0</v>
      </c>
      <c r="P28" s="40">
        <v>35.5</v>
      </c>
      <c r="Q28" s="40">
        <v>17.8</v>
      </c>
      <c r="R28" s="61">
        <v>0.86624999999999996</v>
      </c>
      <c r="S28" s="15"/>
    </row>
    <row r="29" spans="1:19" ht="22" customHeight="1" x14ac:dyDescent="0.25">
      <c r="A29" s="15"/>
      <c r="B29" s="43" t="s">
        <v>15</v>
      </c>
      <c r="C29" s="43" t="s">
        <v>15</v>
      </c>
      <c r="D29" s="44">
        <f>SUM(D22:D28)</f>
        <v>3149.4197409139606</v>
      </c>
      <c r="E29" s="44">
        <f>SUM(E22:E28)</f>
        <v>2671.2744262295082</v>
      </c>
      <c r="F29" s="45">
        <f t="shared" si="3"/>
        <v>0.84817986993829697</v>
      </c>
      <c r="G29" s="45" t="s">
        <v>148</v>
      </c>
      <c r="H29" s="46">
        <f t="shared" ca="1" si="4"/>
        <v>4.0481311974327812E-2</v>
      </c>
      <c r="I29" s="44">
        <f t="shared" ref="I29:Q29" si="10">SUM(I22:I28)</f>
        <v>14.700000000000001</v>
      </c>
      <c r="J29" s="44">
        <f t="shared" si="10"/>
        <v>75.100000000000009</v>
      </c>
      <c r="K29" s="44">
        <f t="shared" si="10"/>
        <v>0</v>
      </c>
      <c r="L29" s="44">
        <f t="shared" si="10"/>
        <v>534.59999999999991</v>
      </c>
      <c r="M29" s="57">
        <f t="shared" si="10"/>
        <v>624.4</v>
      </c>
      <c r="N29" s="44">
        <f t="shared" si="10"/>
        <v>230.79868852459023</v>
      </c>
      <c r="O29" s="44">
        <f t="shared" si="10"/>
        <v>364.67573770491811</v>
      </c>
      <c r="P29" s="44">
        <f t="shared" si="10"/>
        <v>809.2</v>
      </c>
      <c r="Q29" s="44">
        <f t="shared" si="10"/>
        <v>1266.5999999999997</v>
      </c>
      <c r="R29" s="61" t="s">
        <v>148</v>
      </c>
      <c r="S29" s="15"/>
    </row>
    <row r="30" spans="1:19" ht="22" customHeight="1" x14ac:dyDescent="0.25">
      <c r="A30" s="15"/>
      <c r="B30" s="39" t="s">
        <v>23</v>
      </c>
      <c r="C30" s="39" t="s">
        <v>25</v>
      </c>
      <c r="D30" s="40">
        <v>198.669860905902</v>
      </c>
      <c r="E30" s="40">
        <f t="shared" ref="E30:E36" si="11">SUM(N30:Q30)</f>
        <v>76.965573770491773</v>
      </c>
      <c r="F30" s="41">
        <f t="shared" si="3"/>
        <v>0.38740437739041733</v>
      </c>
      <c r="G30" s="41">
        <f t="shared" si="6"/>
        <v>0.91117509562226151</v>
      </c>
      <c r="H30" s="42">
        <f t="shared" ca="1" si="4"/>
        <v>1.8489754375451736E-2</v>
      </c>
      <c r="I30" s="40">
        <v>3.5</v>
      </c>
      <c r="J30" s="40">
        <v>9.3000000000000007</v>
      </c>
      <c r="K30" s="40" t="s">
        <v>113</v>
      </c>
      <c r="L30" s="40">
        <v>0</v>
      </c>
      <c r="M30" s="56">
        <f t="shared" ref="M30:M36" si="12">SUM(I30:L30)</f>
        <v>12.8</v>
      </c>
      <c r="N30" s="40">
        <v>54.797377049180298</v>
      </c>
      <c r="O30" s="40">
        <v>9.3681967213114792</v>
      </c>
      <c r="P30" s="40">
        <v>12.8</v>
      </c>
      <c r="Q30" s="40">
        <v>0</v>
      </c>
      <c r="R30" s="61">
        <v>2.3519999999999999</v>
      </c>
      <c r="S30" s="15"/>
    </row>
    <row r="31" spans="1:19" ht="22" customHeight="1" x14ac:dyDescent="0.25">
      <c r="A31" s="15"/>
      <c r="B31" s="39" t="s">
        <v>23</v>
      </c>
      <c r="C31" s="39" t="s">
        <v>65</v>
      </c>
      <c r="D31" s="40">
        <v>486.45071594382699</v>
      </c>
      <c r="E31" s="40">
        <f t="shared" si="11"/>
        <v>209.28459016393444</v>
      </c>
      <c r="F31" s="41">
        <f t="shared" si="3"/>
        <v>0.43022773593389391</v>
      </c>
      <c r="G31" s="41">
        <f t="shared" si="6"/>
        <v>0.6608298023944611</v>
      </c>
      <c r="H31" s="42">
        <f t="shared" ca="1" si="4"/>
        <v>2.0533596487754026E-2</v>
      </c>
      <c r="I31" s="40">
        <v>2.5</v>
      </c>
      <c r="J31" s="40">
        <v>0</v>
      </c>
      <c r="K31" s="40" t="s">
        <v>113</v>
      </c>
      <c r="L31" s="40">
        <v>61.5</v>
      </c>
      <c r="M31" s="56">
        <f t="shared" si="12"/>
        <v>64</v>
      </c>
      <c r="N31" s="40">
        <v>41.0872131147541</v>
      </c>
      <c r="O31" s="40">
        <v>5.0973770491803299</v>
      </c>
      <c r="P31" s="40">
        <v>48.2</v>
      </c>
      <c r="Q31" s="40">
        <v>114.9</v>
      </c>
      <c r="R31" s="61">
        <v>1.536</v>
      </c>
      <c r="S31" s="15"/>
    </row>
    <row r="32" spans="1:19" ht="22" customHeight="1" x14ac:dyDescent="0.25">
      <c r="A32" s="15"/>
      <c r="B32" s="39" t="s">
        <v>23</v>
      </c>
      <c r="C32" s="39" t="s">
        <v>17</v>
      </c>
      <c r="D32" s="40">
        <v>441.06904244265297</v>
      </c>
      <c r="E32" s="40">
        <f t="shared" si="11"/>
        <v>67.224590163934394</v>
      </c>
      <c r="F32" s="41">
        <f t="shared" si="3"/>
        <v>0.15241285081274961</v>
      </c>
      <c r="G32" s="41">
        <f t="shared" si="6"/>
        <v>0.2834879025117143</v>
      </c>
      <c r="H32" s="42">
        <f t="shared" ca="1" si="4"/>
        <v>7.2742496978812311E-3</v>
      </c>
      <c r="I32" s="40">
        <v>-0.8</v>
      </c>
      <c r="J32" s="40">
        <v>1.3</v>
      </c>
      <c r="K32" s="40" t="s">
        <v>113</v>
      </c>
      <c r="L32" s="40">
        <v>0</v>
      </c>
      <c r="M32" s="56">
        <f t="shared" si="12"/>
        <v>0.5</v>
      </c>
      <c r="N32" s="40">
        <v>47.350163934426199</v>
      </c>
      <c r="O32" s="40">
        <v>1.2744262295082001</v>
      </c>
      <c r="P32" s="40">
        <v>10.8</v>
      </c>
      <c r="Q32" s="40">
        <v>7.8</v>
      </c>
      <c r="R32" s="61">
        <v>1.86</v>
      </c>
      <c r="S32" s="15"/>
    </row>
    <row r="33" spans="1:19" ht="22" customHeight="1" x14ac:dyDescent="0.25">
      <c r="A33" s="15"/>
      <c r="B33" s="39" t="s">
        <v>23</v>
      </c>
      <c r="C33" s="39" t="s">
        <v>21</v>
      </c>
      <c r="D33" s="40">
        <v>549.30671445660903</v>
      </c>
      <c r="E33" s="40">
        <f t="shared" si="11"/>
        <v>80.080327868852493</v>
      </c>
      <c r="F33" s="41">
        <f t="shared" si="3"/>
        <v>0.14578436010575693</v>
      </c>
      <c r="G33" s="41">
        <f t="shared" si="6"/>
        <v>0.14695063498660299</v>
      </c>
      <c r="H33" s="42">
        <f t="shared" ca="1" si="4"/>
        <v>6.9578899141383996E-3</v>
      </c>
      <c r="I33" s="40">
        <v>0.5</v>
      </c>
      <c r="J33" s="40">
        <v>1.5</v>
      </c>
      <c r="K33" s="40" t="s">
        <v>113</v>
      </c>
      <c r="L33" s="40">
        <v>0</v>
      </c>
      <c r="M33" s="56">
        <f t="shared" si="12"/>
        <v>2</v>
      </c>
      <c r="N33" s="40">
        <v>11.1970491803279</v>
      </c>
      <c r="O33" s="40">
        <v>38.483278688524599</v>
      </c>
      <c r="P33" s="40">
        <v>30.4</v>
      </c>
      <c r="Q33" s="40">
        <v>0</v>
      </c>
      <c r="R33" s="61">
        <v>1.008</v>
      </c>
      <c r="S33" s="15"/>
    </row>
    <row r="34" spans="1:19" ht="22" customHeight="1" x14ac:dyDescent="0.25">
      <c r="A34" s="15"/>
      <c r="B34" s="39" t="s">
        <v>23</v>
      </c>
      <c r="C34" s="39" t="s">
        <v>26</v>
      </c>
      <c r="D34" s="40">
        <v>584.47771382636802</v>
      </c>
      <c r="E34" s="40">
        <f t="shared" si="11"/>
        <v>355.92852459016399</v>
      </c>
      <c r="F34" s="41">
        <f t="shared" si="3"/>
        <v>0.60896851354695181</v>
      </c>
      <c r="G34" s="41">
        <f t="shared" si="6"/>
        <v>1.3884482108870499</v>
      </c>
      <c r="H34" s="42">
        <f t="shared" ca="1" si="4"/>
        <v>2.9064406328377246E-2</v>
      </c>
      <c r="I34" s="40">
        <v>12</v>
      </c>
      <c r="J34" s="40">
        <v>6.2</v>
      </c>
      <c r="K34" s="40" t="s">
        <v>113</v>
      </c>
      <c r="L34" s="40">
        <v>0</v>
      </c>
      <c r="M34" s="56">
        <f t="shared" si="12"/>
        <v>18.2</v>
      </c>
      <c r="N34" s="40">
        <v>57.594754098360703</v>
      </c>
      <c r="O34" s="40">
        <v>6.5337704918032804</v>
      </c>
      <c r="P34" s="40">
        <v>291.8</v>
      </c>
      <c r="Q34" s="40">
        <v>0</v>
      </c>
      <c r="R34" s="61">
        <v>2.2799999999999998</v>
      </c>
      <c r="S34" s="15"/>
    </row>
    <row r="35" spans="1:19" ht="22" customHeight="1" x14ac:dyDescent="0.25">
      <c r="A35" s="15"/>
      <c r="B35" s="39" t="s">
        <v>23</v>
      </c>
      <c r="C35" s="39" t="s">
        <v>57</v>
      </c>
      <c r="D35" s="40">
        <v>392.85379691088201</v>
      </c>
      <c r="E35" s="40">
        <f t="shared" si="11"/>
        <v>88.41901639344259</v>
      </c>
      <c r="F35" s="41">
        <f t="shared" si="3"/>
        <v>0.2250685040814312</v>
      </c>
      <c r="G35" s="41">
        <f t="shared" si="6"/>
        <v>0.55636934208929789</v>
      </c>
      <c r="H35" s="42">
        <f t="shared" ca="1" si="4"/>
        <v>1.0741905876613762E-2</v>
      </c>
      <c r="I35" s="40">
        <v>6.3</v>
      </c>
      <c r="J35" s="40">
        <v>0</v>
      </c>
      <c r="K35" s="40" t="s">
        <v>113</v>
      </c>
      <c r="L35" s="40">
        <v>2.8</v>
      </c>
      <c r="M35" s="56">
        <f t="shared" si="12"/>
        <v>9.1</v>
      </c>
      <c r="N35" s="40">
        <v>39.1190163934426</v>
      </c>
      <c r="O35" s="40">
        <v>0</v>
      </c>
      <c r="P35" s="40">
        <v>46.5</v>
      </c>
      <c r="Q35" s="40">
        <v>2.8</v>
      </c>
      <c r="R35" s="61">
        <v>2.472</v>
      </c>
      <c r="S35" s="15"/>
    </row>
    <row r="36" spans="1:19" ht="22" customHeight="1" x14ac:dyDescent="0.25">
      <c r="A36" s="15"/>
      <c r="B36" s="39" t="s">
        <v>23</v>
      </c>
      <c r="C36" s="39" t="s">
        <v>24</v>
      </c>
      <c r="D36" s="40">
        <v>907.19337904439396</v>
      </c>
      <c r="E36" s="40">
        <f t="shared" si="11"/>
        <v>1445.3904918032786</v>
      </c>
      <c r="F36" s="41">
        <f t="shared" si="3"/>
        <v>1.5932551153821282</v>
      </c>
      <c r="G36" s="41">
        <f t="shared" si="6"/>
        <v>3.7855741541479362</v>
      </c>
      <c r="H36" s="42">
        <f t="shared" ca="1" si="4"/>
        <v>7.6041721415965213E-2</v>
      </c>
      <c r="I36" s="40">
        <v>5.5</v>
      </c>
      <c r="J36" s="40">
        <v>0</v>
      </c>
      <c r="K36" s="40" t="s">
        <v>113</v>
      </c>
      <c r="L36" s="40">
        <v>143.4</v>
      </c>
      <c r="M36" s="56">
        <f t="shared" si="12"/>
        <v>148.9</v>
      </c>
      <c r="N36" s="40">
        <v>29.089180327868899</v>
      </c>
      <c r="O36" s="40">
        <v>18.801311475409801</v>
      </c>
      <c r="P36" s="40">
        <v>786</v>
      </c>
      <c r="Q36" s="40">
        <v>611.5</v>
      </c>
      <c r="R36" s="61">
        <v>2.3759999999999999</v>
      </c>
      <c r="S36" s="15"/>
    </row>
    <row r="37" spans="1:19" ht="22" customHeight="1" x14ac:dyDescent="0.25">
      <c r="A37" s="15"/>
      <c r="B37" s="43" t="s">
        <v>23</v>
      </c>
      <c r="C37" s="43" t="s">
        <v>23</v>
      </c>
      <c r="D37" s="44">
        <f>SUM(D30:D36)</f>
        <v>3560.0212235306349</v>
      </c>
      <c r="E37" s="44">
        <f>SUM(E30:E36)</f>
        <v>2323.2931147540985</v>
      </c>
      <c r="F37" s="45">
        <f t="shared" si="3"/>
        <v>0.65260653487059361</v>
      </c>
      <c r="G37" s="45" t="s">
        <v>148</v>
      </c>
      <c r="H37" s="46">
        <f t="shared" ca="1" si="4"/>
        <v>3.114713007336924E-2</v>
      </c>
      <c r="I37" s="44">
        <f t="shared" ref="I37:Q37" si="13">SUM(I30:I36)</f>
        <v>29.5</v>
      </c>
      <c r="J37" s="44">
        <f t="shared" si="13"/>
        <v>18.3</v>
      </c>
      <c r="K37" s="44">
        <f t="shared" si="13"/>
        <v>0</v>
      </c>
      <c r="L37" s="44">
        <f t="shared" si="13"/>
        <v>207.7</v>
      </c>
      <c r="M37" s="57">
        <f t="shared" si="13"/>
        <v>255.5</v>
      </c>
      <c r="N37" s="44">
        <f t="shared" si="13"/>
        <v>280.23475409836072</v>
      </c>
      <c r="O37" s="44">
        <f t="shared" si="13"/>
        <v>79.558360655737687</v>
      </c>
      <c r="P37" s="44">
        <f t="shared" si="13"/>
        <v>1226.5</v>
      </c>
      <c r="Q37" s="44">
        <f t="shared" si="13"/>
        <v>737</v>
      </c>
      <c r="R37" s="61" t="s">
        <v>148</v>
      </c>
      <c r="S37" s="15"/>
    </row>
    <row r="38" spans="1:19" ht="22" customHeight="1" x14ac:dyDescent="0.25">
      <c r="A38" s="15"/>
      <c r="B38" s="39" t="s">
        <v>31</v>
      </c>
      <c r="C38" s="39" t="s">
        <v>35</v>
      </c>
      <c r="D38" s="40">
        <v>331.276202989642</v>
      </c>
      <c r="E38" s="40">
        <f t="shared" ref="E38:E43" si="14">SUM(N38:Q38)</f>
        <v>170.86557377049184</v>
      </c>
      <c r="F38" s="41">
        <f t="shared" si="3"/>
        <v>0.51577980014409386</v>
      </c>
      <c r="G38" s="41">
        <f t="shared" si="6"/>
        <v>0.36772520851273172</v>
      </c>
      <c r="H38" s="42">
        <f t="shared" ca="1" si="4"/>
        <v>2.4616763188695389E-2</v>
      </c>
      <c r="I38" s="40">
        <v>1.1000000000000001</v>
      </c>
      <c r="J38" s="40">
        <v>3</v>
      </c>
      <c r="K38" s="40" t="s">
        <v>113</v>
      </c>
      <c r="L38" s="40">
        <v>11.8</v>
      </c>
      <c r="M38" s="56">
        <f t="shared" ref="M38:M43" si="15">SUM(I38:L38)</f>
        <v>15.9</v>
      </c>
      <c r="N38" s="40">
        <v>2.1485245901639298</v>
      </c>
      <c r="O38" s="40">
        <v>37.617049180327903</v>
      </c>
      <c r="P38" s="40">
        <v>119.3</v>
      </c>
      <c r="Q38" s="40">
        <v>11.8</v>
      </c>
      <c r="R38" s="61">
        <v>0.71294999999999997</v>
      </c>
      <c r="S38" s="15"/>
    </row>
    <row r="39" spans="1:19" ht="22" customHeight="1" x14ac:dyDescent="0.25">
      <c r="A39" s="15"/>
      <c r="B39" s="39" t="s">
        <v>31</v>
      </c>
      <c r="C39" s="39" t="s">
        <v>47</v>
      </c>
      <c r="D39" s="40">
        <v>474.198755134728</v>
      </c>
      <c r="E39" s="40">
        <f t="shared" si="14"/>
        <v>207.50590163934422</v>
      </c>
      <c r="F39" s="41">
        <f t="shared" si="3"/>
        <v>0.43759267478546676</v>
      </c>
      <c r="G39" s="41">
        <f t="shared" si="6"/>
        <v>0.71734567177581565</v>
      </c>
      <c r="H39" s="42">
        <f t="shared" ca="1" si="4"/>
        <v>2.0885104932942732E-2</v>
      </c>
      <c r="I39" s="40">
        <v>1.5</v>
      </c>
      <c r="J39" s="40">
        <v>0</v>
      </c>
      <c r="K39" s="40" t="s">
        <v>113</v>
      </c>
      <c r="L39" s="40">
        <v>0</v>
      </c>
      <c r="M39" s="56">
        <f t="shared" si="15"/>
        <v>1.5</v>
      </c>
      <c r="N39" s="40">
        <v>93.658032786885201</v>
      </c>
      <c r="O39" s="40">
        <v>52.547868852458997</v>
      </c>
      <c r="P39" s="40">
        <v>42.9</v>
      </c>
      <c r="Q39" s="40">
        <v>18.399999999999999</v>
      </c>
      <c r="R39" s="61">
        <v>1.6393</v>
      </c>
      <c r="S39" s="15"/>
    </row>
    <row r="40" spans="1:19" ht="22" customHeight="1" x14ac:dyDescent="0.25">
      <c r="A40" s="15"/>
      <c r="B40" s="39" t="s">
        <v>31</v>
      </c>
      <c r="C40" s="39" t="s">
        <v>36</v>
      </c>
      <c r="D40" s="40">
        <v>648.05882792739101</v>
      </c>
      <c r="E40" s="40">
        <f t="shared" si="14"/>
        <v>158.5173770491804</v>
      </c>
      <c r="F40" s="41">
        <f t="shared" si="3"/>
        <v>0.24460337583263475</v>
      </c>
      <c r="G40" s="41">
        <f t="shared" si="6"/>
        <v>0.22658833720256119</v>
      </c>
      <c r="H40" s="42">
        <f t="shared" ca="1" si="4"/>
        <v>1.1674252028375749E-2</v>
      </c>
      <c r="I40" s="40">
        <v>6</v>
      </c>
      <c r="J40" s="40">
        <v>0</v>
      </c>
      <c r="K40" s="40" t="s">
        <v>113</v>
      </c>
      <c r="L40" s="40">
        <v>5.5</v>
      </c>
      <c r="M40" s="56">
        <f t="shared" si="15"/>
        <v>11.5</v>
      </c>
      <c r="N40" s="40">
        <v>13.9826229508197</v>
      </c>
      <c r="O40" s="40">
        <v>13.2347540983607</v>
      </c>
      <c r="P40" s="40">
        <v>125.8</v>
      </c>
      <c r="Q40" s="40">
        <v>5.5</v>
      </c>
      <c r="R40" s="61">
        <v>0.92635000000000001</v>
      </c>
      <c r="S40" s="15"/>
    </row>
    <row r="41" spans="1:19" ht="22" customHeight="1" x14ac:dyDescent="0.25">
      <c r="A41" s="15"/>
      <c r="B41" s="39" t="s">
        <v>31</v>
      </c>
      <c r="C41" s="39" t="s">
        <v>33</v>
      </c>
      <c r="D41" s="40">
        <v>568.12358161559405</v>
      </c>
      <c r="E41" s="40">
        <f t="shared" si="14"/>
        <v>115.48885245901634</v>
      </c>
      <c r="F41" s="41">
        <f t="shared" si="3"/>
        <v>0.20328121591185569</v>
      </c>
      <c r="G41" s="41">
        <f t="shared" si="6"/>
        <v>0.20309826281753501</v>
      </c>
      <c r="H41" s="42">
        <f t="shared" ca="1" si="4"/>
        <v>9.702058032156749E-3</v>
      </c>
      <c r="I41" s="40">
        <v>2.2000000000000002</v>
      </c>
      <c r="J41" s="40">
        <v>0</v>
      </c>
      <c r="K41" s="40" t="s">
        <v>113</v>
      </c>
      <c r="L41" s="40">
        <v>16.5</v>
      </c>
      <c r="M41" s="56">
        <f t="shared" si="15"/>
        <v>18.7</v>
      </c>
      <c r="N41" s="40">
        <v>23.519672131147502</v>
      </c>
      <c r="O41" s="40">
        <v>3.2691803278688498</v>
      </c>
      <c r="P41" s="40">
        <v>24.4</v>
      </c>
      <c r="Q41" s="40">
        <v>64.3</v>
      </c>
      <c r="R41" s="61">
        <v>0.99909999999999999</v>
      </c>
      <c r="S41" s="15"/>
    </row>
    <row r="42" spans="1:19" ht="22" customHeight="1" x14ac:dyDescent="0.25">
      <c r="A42" s="15"/>
      <c r="B42" s="39" t="s">
        <v>31</v>
      </c>
      <c r="C42" s="39" t="s">
        <v>41</v>
      </c>
      <c r="D42" s="40">
        <v>410.71639496961001</v>
      </c>
      <c r="E42" s="40">
        <f t="shared" si="14"/>
        <v>207.7170491803279</v>
      </c>
      <c r="F42" s="41">
        <f t="shared" si="3"/>
        <v>0.50574326158978256</v>
      </c>
      <c r="G42" s="41">
        <f t="shared" si="6"/>
        <v>0.46358956073627416</v>
      </c>
      <c r="H42" s="42">
        <f t="shared" ca="1" si="4"/>
        <v>2.4137746575875984E-2</v>
      </c>
      <c r="I42" s="40">
        <v>1.6</v>
      </c>
      <c r="J42" s="40">
        <v>0</v>
      </c>
      <c r="K42" s="40" t="s">
        <v>113</v>
      </c>
      <c r="L42" s="40">
        <v>61.1</v>
      </c>
      <c r="M42" s="56">
        <f t="shared" si="15"/>
        <v>62.7</v>
      </c>
      <c r="N42" s="40">
        <v>26.9993442622951</v>
      </c>
      <c r="O42" s="40">
        <v>14.6177049180328</v>
      </c>
      <c r="P42" s="40">
        <v>37.1</v>
      </c>
      <c r="Q42" s="40">
        <v>129</v>
      </c>
      <c r="R42" s="61">
        <v>0.91664999999999996</v>
      </c>
      <c r="S42" s="15"/>
    </row>
    <row r="43" spans="1:19" ht="22" customHeight="1" x14ac:dyDescent="0.25">
      <c r="A43" s="15"/>
      <c r="B43" s="39" t="s">
        <v>31</v>
      </c>
      <c r="C43" s="39" t="s">
        <v>32</v>
      </c>
      <c r="D43" s="40">
        <v>355.60677350525299</v>
      </c>
      <c r="E43" s="40">
        <f t="shared" si="14"/>
        <v>201.29508196721309</v>
      </c>
      <c r="F43" s="41">
        <f t="shared" si="3"/>
        <v>0.56606087668979566</v>
      </c>
      <c r="G43" s="41">
        <f t="shared" si="6"/>
        <v>0.5765330029085568</v>
      </c>
      <c r="H43" s="42">
        <f t="shared" ca="1" si="4"/>
        <v>2.7016541842012975E-2</v>
      </c>
      <c r="I43" s="40">
        <v>5</v>
      </c>
      <c r="J43" s="40">
        <v>0</v>
      </c>
      <c r="K43" s="40" t="s">
        <v>113</v>
      </c>
      <c r="L43" s="40">
        <v>72.599999999999994</v>
      </c>
      <c r="M43" s="56">
        <f t="shared" si="15"/>
        <v>77.599999999999994</v>
      </c>
      <c r="N43" s="40">
        <v>23.595081967213101</v>
      </c>
      <c r="O43" s="40">
        <v>0</v>
      </c>
      <c r="P43" s="40">
        <v>105.1</v>
      </c>
      <c r="Q43" s="40">
        <v>72.599999999999994</v>
      </c>
      <c r="R43" s="61">
        <v>1.0185</v>
      </c>
      <c r="S43" s="15"/>
    </row>
    <row r="44" spans="1:19" ht="22" customHeight="1" x14ac:dyDescent="0.25">
      <c r="A44" s="15"/>
      <c r="B44" s="43" t="s">
        <v>31</v>
      </c>
      <c r="C44" s="43" t="s">
        <v>31</v>
      </c>
      <c r="D44" s="44">
        <f>SUM(D38:D43)</f>
        <v>2787.9805361422182</v>
      </c>
      <c r="E44" s="44">
        <f>SUM(E38:E43)</f>
        <v>1061.3898360655737</v>
      </c>
      <c r="F44" s="45">
        <f t="shared" si="3"/>
        <v>0.3807020251060429</v>
      </c>
      <c r="G44" s="45" t="s">
        <v>148</v>
      </c>
      <c r="H44" s="46">
        <f t="shared" ca="1" si="4"/>
        <v>1.8169869380061137E-2</v>
      </c>
      <c r="I44" s="44">
        <f t="shared" ref="I44:Q44" si="16">SUM(I38:I43)</f>
        <v>17.399999999999999</v>
      </c>
      <c r="J44" s="44">
        <f t="shared" si="16"/>
        <v>3</v>
      </c>
      <c r="K44" s="44">
        <f t="shared" si="16"/>
        <v>0</v>
      </c>
      <c r="L44" s="44">
        <f t="shared" si="16"/>
        <v>167.5</v>
      </c>
      <c r="M44" s="57">
        <f t="shared" si="16"/>
        <v>187.89999999999998</v>
      </c>
      <c r="N44" s="44">
        <f t="shared" si="16"/>
        <v>183.90327868852455</v>
      </c>
      <c r="O44" s="44">
        <f t="shared" si="16"/>
        <v>121.28655737704925</v>
      </c>
      <c r="P44" s="44">
        <f t="shared" si="16"/>
        <v>454.6</v>
      </c>
      <c r="Q44" s="44">
        <f t="shared" si="16"/>
        <v>301.60000000000002</v>
      </c>
      <c r="R44" s="61" t="s">
        <v>148</v>
      </c>
      <c r="S44" s="15"/>
    </row>
    <row r="45" spans="1:19" ht="22" customHeight="1" x14ac:dyDescent="0.25">
      <c r="A45" s="15"/>
      <c r="B45" s="39" t="s">
        <v>38</v>
      </c>
      <c r="C45" s="39" t="s">
        <v>10</v>
      </c>
      <c r="D45" s="40">
        <v>818.53848744063203</v>
      </c>
      <c r="E45" s="40">
        <f t="shared" ref="E45:E50" si="17">SUM(N45:Q45)</f>
        <v>191.1229508196721</v>
      </c>
      <c r="F45" s="41">
        <f t="shared" si="3"/>
        <v>0.23349293130646359</v>
      </c>
      <c r="G45" s="41">
        <f t="shared" si="6"/>
        <v>0.3287580472795007</v>
      </c>
      <c r="H45" s="42">
        <f t="shared" ca="1" si="4"/>
        <v>1.1143980812353944E-2</v>
      </c>
      <c r="I45" s="40">
        <v>1.1000000000000001</v>
      </c>
      <c r="J45" s="40">
        <v>0</v>
      </c>
      <c r="K45" s="40" t="s">
        <v>113</v>
      </c>
      <c r="L45" s="40">
        <v>0</v>
      </c>
      <c r="M45" s="56">
        <f t="shared" ref="M45:M50" si="18">SUM(I45:L45)</f>
        <v>1.1000000000000001</v>
      </c>
      <c r="N45" s="40">
        <v>92.752459016393402</v>
      </c>
      <c r="O45" s="40">
        <v>55.770491803278702</v>
      </c>
      <c r="P45" s="40">
        <v>42.6</v>
      </c>
      <c r="Q45" s="40">
        <v>0</v>
      </c>
      <c r="R45" s="61">
        <v>1.4079999999999999</v>
      </c>
      <c r="S45" s="15"/>
    </row>
    <row r="46" spans="1:19" ht="22" customHeight="1" x14ac:dyDescent="0.25">
      <c r="A46" s="15"/>
      <c r="B46" s="39" t="s">
        <v>38</v>
      </c>
      <c r="C46" s="39" t="s">
        <v>39</v>
      </c>
      <c r="D46" s="40">
        <v>381.96531053988099</v>
      </c>
      <c r="E46" s="40">
        <f t="shared" si="17"/>
        <v>424.831475409836</v>
      </c>
      <c r="F46" s="41">
        <f t="shared" si="3"/>
        <v>1.1122252824722925</v>
      </c>
      <c r="G46" s="41">
        <f t="shared" si="6"/>
        <v>3.0096816143700234</v>
      </c>
      <c r="H46" s="42">
        <f t="shared" ca="1" si="4"/>
        <v>5.3083479390723054E-2</v>
      </c>
      <c r="I46" s="40">
        <v>13.8</v>
      </c>
      <c r="J46" s="40">
        <v>7.7</v>
      </c>
      <c r="K46" s="40" t="s">
        <v>113</v>
      </c>
      <c r="L46" s="40">
        <v>103.3</v>
      </c>
      <c r="M46" s="56">
        <f t="shared" si="18"/>
        <v>124.8</v>
      </c>
      <c r="N46" s="40">
        <v>44.450819672131097</v>
      </c>
      <c r="O46" s="40">
        <v>26.4806557377049</v>
      </c>
      <c r="P46" s="40">
        <v>197</v>
      </c>
      <c r="Q46" s="40">
        <v>156.9</v>
      </c>
      <c r="R46" s="61">
        <v>2.706</v>
      </c>
      <c r="S46" s="15"/>
    </row>
    <row r="47" spans="1:19" ht="22" customHeight="1" x14ac:dyDescent="0.25">
      <c r="A47" s="15"/>
      <c r="B47" s="39" t="s">
        <v>38</v>
      </c>
      <c r="C47" s="39" t="s">
        <v>43</v>
      </c>
      <c r="D47" s="40">
        <v>600.38928932663396</v>
      </c>
      <c r="E47" s="40">
        <f t="shared" si="17"/>
        <v>87.445901639344243</v>
      </c>
      <c r="F47" s="41">
        <f t="shared" si="3"/>
        <v>0.14564867027761122</v>
      </c>
      <c r="G47" s="41">
        <f t="shared" si="6"/>
        <v>0.2595459304347032</v>
      </c>
      <c r="H47" s="42">
        <f t="shared" ca="1" si="4"/>
        <v>6.9514138087041714E-3</v>
      </c>
      <c r="I47" s="40">
        <v>4.3</v>
      </c>
      <c r="J47" s="40">
        <v>0</v>
      </c>
      <c r="K47" s="40" t="s">
        <v>113</v>
      </c>
      <c r="L47" s="40">
        <v>15.2</v>
      </c>
      <c r="M47" s="56">
        <f t="shared" si="18"/>
        <v>19.5</v>
      </c>
      <c r="N47" s="40">
        <v>42.737377049180303</v>
      </c>
      <c r="O47" s="40">
        <v>5.4085245901639301</v>
      </c>
      <c r="P47" s="40">
        <v>13.2</v>
      </c>
      <c r="Q47" s="40">
        <v>26.1</v>
      </c>
      <c r="R47" s="61">
        <v>1.782</v>
      </c>
      <c r="S47" s="15"/>
    </row>
    <row r="48" spans="1:19" ht="22" customHeight="1" x14ac:dyDescent="0.25">
      <c r="A48" s="15"/>
      <c r="B48" s="39" t="s">
        <v>38</v>
      </c>
      <c r="C48" s="39" t="s">
        <v>51</v>
      </c>
      <c r="D48" s="40">
        <v>509.74401434209</v>
      </c>
      <c r="E48" s="40">
        <f t="shared" si="17"/>
        <v>123.89344262295083</v>
      </c>
      <c r="F48" s="41">
        <f t="shared" si="3"/>
        <v>0.24305031375965455</v>
      </c>
      <c r="G48" s="41">
        <f t="shared" si="6"/>
        <v>0.187148741594934</v>
      </c>
      <c r="H48" s="42">
        <f t="shared" ca="1" si="4"/>
        <v>1.160012861125624E-2</v>
      </c>
      <c r="I48" s="40">
        <v>-1.3</v>
      </c>
      <c r="J48" s="40">
        <v>0</v>
      </c>
      <c r="K48" s="40" t="s">
        <v>113</v>
      </c>
      <c r="L48" s="40">
        <v>34.5</v>
      </c>
      <c r="M48" s="56">
        <f t="shared" si="18"/>
        <v>33.200000000000003</v>
      </c>
      <c r="N48" s="40">
        <v>6.8934426229508201</v>
      </c>
      <c r="O48" s="40">
        <v>0</v>
      </c>
      <c r="P48" s="40">
        <v>46.5</v>
      </c>
      <c r="Q48" s="40">
        <v>70.5</v>
      </c>
      <c r="R48" s="61">
        <v>0.77</v>
      </c>
      <c r="S48" s="15"/>
    </row>
    <row r="49" spans="1:19" ht="22" customHeight="1" x14ac:dyDescent="0.25">
      <c r="A49" s="15"/>
      <c r="B49" s="39" t="s">
        <v>38</v>
      </c>
      <c r="C49" s="39" t="s">
        <v>54</v>
      </c>
      <c r="D49" s="40">
        <v>470.21792420280798</v>
      </c>
      <c r="E49" s="40">
        <f t="shared" si="17"/>
        <v>85.895409836065568</v>
      </c>
      <c r="F49" s="41">
        <f t="shared" si="3"/>
        <v>0.18267149212078596</v>
      </c>
      <c r="G49" s="41">
        <f t="shared" si="6"/>
        <v>0.14266643534633383</v>
      </c>
      <c r="H49" s="42">
        <f t="shared" ca="1" si="4"/>
        <v>8.7184121239466013E-3</v>
      </c>
      <c r="I49" s="40">
        <v>-0.1</v>
      </c>
      <c r="J49" s="40">
        <v>0</v>
      </c>
      <c r="K49" s="40" t="s">
        <v>113</v>
      </c>
      <c r="L49" s="40">
        <v>21.5</v>
      </c>
      <c r="M49" s="56">
        <f t="shared" si="18"/>
        <v>21.4</v>
      </c>
      <c r="N49" s="40">
        <v>0.59540983606557396</v>
      </c>
      <c r="O49" s="40">
        <v>0</v>
      </c>
      <c r="P49" s="40">
        <v>40</v>
      </c>
      <c r="Q49" s="40">
        <v>45.3</v>
      </c>
      <c r="R49" s="61">
        <v>0.78100000000000003</v>
      </c>
      <c r="S49" s="15"/>
    </row>
    <row r="50" spans="1:19" ht="22" customHeight="1" x14ac:dyDescent="0.25">
      <c r="A50" s="15"/>
      <c r="B50" s="39" t="s">
        <v>38</v>
      </c>
      <c r="C50" s="39" t="s">
        <v>64</v>
      </c>
      <c r="D50" s="40">
        <v>368.17775281926299</v>
      </c>
      <c r="E50" s="40">
        <f t="shared" si="17"/>
        <v>206.07737704918031</v>
      </c>
      <c r="F50" s="41">
        <f t="shared" si="3"/>
        <v>0.55972251302849063</v>
      </c>
      <c r="G50" s="41">
        <f t="shared" si="6"/>
        <v>0.95432688471357652</v>
      </c>
      <c r="H50" s="42">
        <f t="shared" ca="1" si="4"/>
        <v>2.6714029030905233E-2</v>
      </c>
      <c r="I50" s="40">
        <v>6.3</v>
      </c>
      <c r="J50" s="40">
        <v>0</v>
      </c>
      <c r="K50" s="40" t="s">
        <v>113</v>
      </c>
      <c r="L50" s="40">
        <v>51.2</v>
      </c>
      <c r="M50" s="56">
        <f t="shared" si="18"/>
        <v>57.5</v>
      </c>
      <c r="N50" s="40">
        <v>53.077377049180299</v>
      </c>
      <c r="O50" s="40">
        <v>0</v>
      </c>
      <c r="P50" s="40">
        <v>17.2</v>
      </c>
      <c r="Q50" s="40">
        <v>135.80000000000001</v>
      </c>
      <c r="R50" s="61">
        <v>1.7050000000000001</v>
      </c>
      <c r="S50" s="15"/>
    </row>
    <row r="51" spans="1:19" ht="22" customHeight="1" x14ac:dyDescent="0.25">
      <c r="A51" s="15"/>
      <c r="B51" s="43" t="s">
        <v>38</v>
      </c>
      <c r="C51" s="43" t="s">
        <v>38</v>
      </c>
      <c r="D51" s="44">
        <f>SUM(D45:D50)</f>
        <v>3149.0327786713074</v>
      </c>
      <c r="E51" s="44">
        <f>SUM(E45:E50)</f>
        <v>1119.2665573770491</v>
      </c>
      <c r="F51" s="45">
        <f t="shared" si="3"/>
        <v>0.35543185353863127</v>
      </c>
      <c r="G51" s="45" t="s">
        <v>148</v>
      </c>
      <c r="H51" s="46">
        <f t="shared" ca="1" si="4"/>
        <v>1.6963793009798313E-2</v>
      </c>
      <c r="I51" s="44">
        <f t="shared" ref="I51:Q51" si="19">SUM(I45:I50)</f>
        <v>24.099999999999998</v>
      </c>
      <c r="J51" s="44">
        <f t="shared" si="19"/>
        <v>7.7</v>
      </c>
      <c r="K51" s="44">
        <f t="shared" si="19"/>
        <v>0</v>
      </c>
      <c r="L51" s="44">
        <f t="shared" si="19"/>
        <v>225.7</v>
      </c>
      <c r="M51" s="57">
        <f t="shared" si="19"/>
        <v>257.5</v>
      </c>
      <c r="N51" s="44">
        <f t="shared" si="19"/>
        <v>240.50688524590151</v>
      </c>
      <c r="O51" s="44">
        <f t="shared" si="19"/>
        <v>87.659672131147531</v>
      </c>
      <c r="P51" s="44">
        <f t="shared" si="19"/>
        <v>356.49999999999994</v>
      </c>
      <c r="Q51" s="44">
        <f t="shared" si="19"/>
        <v>434.6</v>
      </c>
      <c r="R51" s="61" t="s">
        <v>148</v>
      </c>
      <c r="S51" s="15"/>
    </row>
    <row r="52" spans="1:19" ht="22" customHeight="1" x14ac:dyDescent="0.25">
      <c r="A52" s="15"/>
      <c r="B52" s="39" t="s">
        <v>45</v>
      </c>
      <c r="C52" s="39" t="s">
        <v>28</v>
      </c>
      <c r="D52" s="40">
        <v>597.87845611079399</v>
      </c>
      <c r="E52" s="40">
        <f t="shared" ref="E52:E58" si="20">SUM(N52:Q52)</f>
        <v>49.759344262295102</v>
      </c>
      <c r="F52" s="41">
        <f t="shared" si="3"/>
        <v>8.3226521634481007E-2</v>
      </c>
      <c r="G52" s="41">
        <f t="shared" si="6"/>
        <v>7.5652908165743243E-2</v>
      </c>
      <c r="H52" s="42">
        <f t="shared" ca="1" si="4"/>
        <v>3.9721748961911389E-3</v>
      </c>
      <c r="I52" s="40">
        <v>-0.4</v>
      </c>
      <c r="J52" s="40">
        <v>0</v>
      </c>
      <c r="K52" s="40" t="s">
        <v>113</v>
      </c>
      <c r="L52" s="40">
        <v>0</v>
      </c>
      <c r="M52" s="56">
        <f t="shared" ref="M52:M58" si="21">SUM(I52:L52)</f>
        <v>-0.4</v>
      </c>
      <c r="N52" s="40">
        <v>21.8593442622951</v>
      </c>
      <c r="O52" s="40">
        <v>0</v>
      </c>
      <c r="P52" s="40">
        <v>27.9</v>
      </c>
      <c r="Q52" s="40">
        <v>0</v>
      </c>
      <c r="R52" s="61">
        <v>0.90900000000000003</v>
      </c>
      <c r="S52" s="15"/>
    </row>
    <row r="53" spans="1:19" ht="22" customHeight="1" x14ac:dyDescent="0.25">
      <c r="A53" s="15"/>
      <c r="B53" s="39" t="s">
        <v>45</v>
      </c>
      <c r="C53" s="39" t="s">
        <v>66</v>
      </c>
      <c r="D53" s="40">
        <v>526.49242899144599</v>
      </c>
      <c r="E53" s="40">
        <f t="shared" si="20"/>
        <v>37.276721311475399</v>
      </c>
      <c r="F53" s="41">
        <f t="shared" si="3"/>
        <v>7.080200826986828E-2</v>
      </c>
      <c r="G53" s="41">
        <f t="shared" si="6"/>
        <v>5.0021618842661944E-2</v>
      </c>
      <c r="H53" s="42">
        <f t="shared" ca="1" si="4"/>
        <v>3.3791867583346227E-3</v>
      </c>
      <c r="I53" s="40">
        <v>0.3</v>
      </c>
      <c r="J53" s="40">
        <v>0</v>
      </c>
      <c r="K53" s="40" t="s">
        <v>113</v>
      </c>
      <c r="L53" s="40">
        <v>0</v>
      </c>
      <c r="M53" s="56">
        <f t="shared" si="21"/>
        <v>0.3</v>
      </c>
      <c r="N53" s="40">
        <v>17.669836065573801</v>
      </c>
      <c r="O53" s="40">
        <v>10.5068852459016</v>
      </c>
      <c r="P53" s="40">
        <v>9.1</v>
      </c>
      <c r="Q53" s="40">
        <v>0</v>
      </c>
      <c r="R53" s="61">
        <v>0.70650000000000002</v>
      </c>
      <c r="S53" s="15"/>
    </row>
    <row r="54" spans="1:19" ht="22" customHeight="1" x14ac:dyDescent="0.25">
      <c r="A54" s="15"/>
      <c r="B54" s="39" t="s">
        <v>45</v>
      </c>
      <c r="C54" s="39" t="s">
        <v>46</v>
      </c>
      <c r="D54" s="40">
        <v>401.89382539190098</v>
      </c>
      <c r="E54" s="40">
        <f t="shared" si="20"/>
        <v>145.79573770491811</v>
      </c>
      <c r="F54" s="41">
        <f t="shared" si="3"/>
        <v>0.36277177824951029</v>
      </c>
      <c r="G54" s="41">
        <f t="shared" si="6"/>
        <v>0.47015222461136535</v>
      </c>
      <c r="H54" s="42">
        <f t="shared" ca="1" si="4"/>
        <v>1.731410759827208E-2</v>
      </c>
      <c r="I54" s="40">
        <v>7.2</v>
      </c>
      <c r="J54" s="40">
        <v>0</v>
      </c>
      <c r="K54" s="40" t="s">
        <v>113</v>
      </c>
      <c r="L54" s="40">
        <v>20.2</v>
      </c>
      <c r="M54" s="56">
        <f t="shared" si="21"/>
        <v>27.4</v>
      </c>
      <c r="N54" s="40">
        <v>24.8947540983607</v>
      </c>
      <c r="O54" s="40">
        <v>28.000983606557401</v>
      </c>
      <c r="P54" s="40">
        <v>72.7</v>
      </c>
      <c r="Q54" s="40">
        <v>20.2</v>
      </c>
      <c r="R54" s="61">
        <v>1.296</v>
      </c>
      <c r="S54" s="15"/>
    </row>
    <row r="55" spans="1:19" ht="22" customHeight="1" x14ac:dyDescent="0.25">
      <c r="A55" s="15"/>
      <c r="B55" s="39" t="s">
        <v>45</v>
      </c>
      <c r="C55" s="39" t="s">
        <v>49</v>
      </c>
      <c r="D55" s="40">
        <v>485.48717237223599</v>
      </c>
      <c r="E55" s="40">
        <f t="shared" si="20"/>
        <v>75.892786885245869</v>
      </c>
      <c r="F55" s="41">
        <f t="shared" si="3"/>
        <v>0.15632294982050904</v>
      </c>
      <c r="G55" s="41">
        <f t="shared" si="6"/>
        <v>0.13717338846749666</v>
      </c>
      <c r="H55" s="42">
        <f t="shared" ca="1" si="4"/>
        <v>7.4608680596152041E-3</v>
      </c>
      <c r="I55" s="40">
        <v>7.1</v>
      </c>
      <c r="J55" s="40">
        <v>1.1000000000000001</v>
      </c>
      <c r="K55" s="40" t="s">
        <v>113</v>
      </c>
      <c r="L55" s="40">
        <v>0</v>
      </c>
      <c r="M55" s="56">
        <f t="shared" si="21"/>
        <v>8.1999999999999993</v>
      </c>
      <c r="N55" s="40">
        <v>14.979672131147501</v>
      </c>
      <c r="O55" s="40">
        <v>2.3131147540983599</v>
      </c>
      <c r="P55" s="40">
        <v>58.6</v>
      </c>
      <c r="Q55" s="40">
        <v>0</v>
      </c>
      <c r="R55" s="61">
        <v>0.87749999999999995</v>
      </c>
      <c r="S55" s="15"/>
    </row>
    <row r="56" spans="1:19" ht="22" customHeight="1" x14ac:dyDescent="0.25">
      <c r="A56" s="15"/>
      <c r="B56" s="39" t="s">
        <v>45</v>
      </c>
      <c r="C56" s="39" t="s">
        <v>22</v>
      </c>
      <c r="D56" s="40">
        <v>400.945733428746</v>
      </c>
      <c r="E56" s="40">
        <f t="shared" si="20"/>
        <v>142.7488524590164</v>
      </c>
      <c r="F56" s="41">
        <f t="shared" si="3"/>
        <v>0.35603035662277471</v>
      </c>
      <c r="G56" s="41">
        <f t="shared" si="6"/>
        <v>0.31722304775089227</v>
      </c>
      <c r="H56" s="42">
        <f t="shared" ca="1" si="4"/>
        <v>1.699235792972334E-2</v>
      </c>
      <c r="I56" s="40">
        <v>0.5</v>
      </c>
      <c r="J56" s="40">
        <v>0</v>
      </c>
      <c r="K56" s="40" t="s">
        <v>113</v>
      </c>
      <c r="L56" s="40">
        <v>0</v>
      </c>
      <c r="M56" s="56">
        <f t="shared" si="21"/>
        <v>0.5</v>
      </c>
      <c r="N56" s="40">
        <v>29.306229508196701</v>
      </c>
      <c r="O56" s="40">
        <v>38.242622950819701</v>
      </c>
      <c r="P56" s="40">
        <v>75.2</v>
      </c>
      <c r="Q56" s="40">
        <v>0</v>
      </c>
      <c r="R56" s="61">
        <v>0.89100000000000001</v>
      </c>
      <c r="S56" s="15"/>
    </row>
    <row r="57" spans="1:19" ht="22" customHeight="1" x14ac:dyDescent="0.25">
      <c r="A57" s="15"/>
      <c r="B57" s="39" t="s">
        <v>45</v>
      </c>
      <c r="C57" s="39" t="s">
        <v>56</v>
      </c>
      <c r="D57" s="40">
        <v>769.75327628523803</v>
      </c>
      <c r="E57" s="40">
        <f t="shared" si="20"/>
        <v>526.74360655737701</v>
      </c>
      <c r="F57" s="41">
        <f t="shared" si="3"/>
        <v>0.68430187020365218</v>
      </c>
      <c r="G57" s="41">
        <f t="shared" si="6"/>
        <v>0.51425285545804456</v>
      </c>
      <c r="H57" s="42">
        <f t="shared" ca="1" si="4"/>
        <v>3.2659861986992486E-2</v>
      </c>
      <c r="I57" s="40">
        <v>0</v>
      </c>
      <c r="J57" s="40">
        <v>0</v>
      </c>
      <c r="K57" s="40" t="s">
        <v>113</v>
      </c>
      <c r="L57" s="40">
        <v>0</v>
      </c>
      <c r="M57" s="56">
        <f t="shared" si="21"/>
        <v>0</v>
      </c>
      <c r="N57" s="40">
        <v>9.2534426229508195</v>
      </c>
      <c r="O57" s="40">
        <v>3.4901639344262301</v>
      </c>
      <c r="P57" s="40">
        <v>514</v>
      </c>
      <c r="Q57" s="40">
        <v>0</v>
      </c>
      <c r="R57" s="61">
        <v>0.75149999999999995</v>
      </c>
      <c r="S57" s="15"/>
    </row>
    <row r="58" spans="1:19" ht="22" customHeight="1" x14ac:dyDescent="0.25">
      <c r="A58" s="15"/>
      <c r="B58" s="39" t="s">
        <v>45</v>
      </c>
      <c r="C58" s="39" t="s">
        <v>79</v>
      </c>
      <c r="D58" s="40">
        <v>421.94756532139201</v>
      </c>
      <c r="E58" s="40">
        <f t="shared" si="20"/>
        <v>55.637377049180301</v>
      </c>
      <c r="F58" s="41">
        <f t="shared" si="3"/>
        <v>0.13185850949703201</v>
      </c>
      <c r="G58" s="41">
        <f t="shared" si="6"/>
        <v>8.9004493910496613E-2</v>
      </c>
      <c r="H58" s="42">
        <f t="shared" ca="1" si="4"/>
        <v>6.293247044176528E-3</v>
      </c>
      <c r="I58" s="40">
        <v>0</v>
      </c>
      <c r="J58" s="40">
        <v>0</v>
      </c>
      <c r="K58" s="40" t="s">
        <v>113</v>
      </c>
      <c r="L58" s="40">
        <v>0</v>
      </c>
      <c r="M58" s="56">
        <f t="shared" si="21"/>
        <v>0</v>
      </c>
      <c r="N58" s="40">
        <v>28.693442622950801</v>
      </c>
      <c r="O58" s="40">
        <v>15.343934426229501</v>
      </c>
      <c r="P58" s="40">
        <v>11.6</v>
      </c>
      <c r="Q58" s="40">
        <v>0</v>
      </c>
      <c r="R58" s="61">
        <v>0.67500000000000004</v>
      </c>
      <c r="S58" s="15"/>
    </row>
    <row r="59" spans="1:19" ht="22" customHeight="1" x14ac:dyDescent="0.25">
      <c r="A59" s="15"/>
      <c r="B59" s="43" t="s">
        <v>45</v>
      </c>
      <c r="C59" s="43" t="s">
        <v>45</v>
      </c>
      <c r="D59" s="44">
        <f>SUM(D52:D58)</f>
        <v>3604.3984579017529</v>
      </c>
      <c r="E59" s="44">
        <f>SUM(E52:E58)</f>
        <v>1033.8544262295081</v>
      </c>
      <c r="F59" s="45">
        <f t="shared" si="3"/>
        <v>0.28683133629774971</v>
      </c>
      <c r="G59" s="45" t="s">
        <v>148</v>
      </c>
      <c r="H59" s="46">
        <f t="shared" ca="1" si="4"/>
        <v>1.3689677414210783E-2</v>
      </c>
      <c r="I59" s="44">
        <f t="shared" ref="I59:Q59" si="22">SUM(I52:I58)</f>
        <v>14.7</v>
      </c>
      <c r="J59" s="44">
        <f t="shared" si="22"/>
        <v>1.1000000000000001</v>
      </c>
      <c r="K59" s="44">
        <f t="shared" si="22"/>
        <v>0</v>
      </c>
      <c r="L59" s="44">
        <f t="shared" si="22"/>
        <v>20.2</v>
      </c>
      <c r="M59" s="57">
        <f t="shared" si="22"/>
        <v>36</v>
      </c>
      <c r="N59" s="44">
        <f t="shared" si="22"/>
        <v>146.65672131147542</v>
      </c>
      <c r="O59" s="44">
        <f t="shared" si="22"/>
        <v>97.897704918032787</v>
      </c>
      <c r="P59" s="44">
        <f t="shared" si="22"/>
        <v>769.1</v>
      </c>
      <c r="Q59" s="44">
        <f t="shared" si="22"/>
        <v>20.2</v>
      </c>
      <c r="R59" s="61" t="s">
        <v>148</v>
      </c>
      <c r="S59" s="15"/>
    </row>
    <row r="60" spans="1:19" ht="22" customHeight="1" x14ac:dyDescent="0.25">
      <c r="A60" s="15"/>
      <c r="B60" s="39" t="s">
        <v>53</v>
      </c>
      <c r="C60" s="39" t="s">
        <v>68</v>
      </c>
      <c r="D60" s="40">
        <v>680.22605468284496</v>
      </c>
      <c r="E60" s="40">
        <f t="shared" ref="E60:E66" si="23">SUM(N60:Q60)</f>
        <v>727.071803278689</v>
      </c>
      <c r="F60" s="41">
        <f t="shared" si="3"/>
        <v>1.0688679127671548</v>
      </c>
      <c r="G60" s="41">
        <f t="shared" si="6"/>
        <v>3.0248961931310481</v>
      </c>
      <c r="H60" s="42">
        <f t="shared" ca="1" si="4"/>
        <v>5.1014150382068753E-2</v>
      </c>
      <c r="I60" s="40">
        <v>5.6</v>
      </c>
      <c r="J60" s="40">
        <v>3.6</v>
      </c>
      <c r="K60" s="40" t="s">
        <v>113</v>
      </c>
      <c r="L60" s="40">
        <v>18.399999999999999</v>
      </c>
      <c r="M60" s="56">
        <f t="shared" ref="M60:M66" si="24">SUM(I60:L60)</f>
        <v>27.599999999999998</v>
      </c>
      <c r="N60" s="40">
        <v>108.276393442623</v>
      </c>
      <c r="O60" s="40">
        <v>109.095409836066</v>
      </c>
      <c r="P60" s="40">
        <v>81.2</v>
      </c>
      <c r="Q60" s="40">
        <v>428.5</v>
      </c>
      <c r="R60" s="61">
        <v>2.83</v>
      </c>
      <c r="S60" s="15"/>
    </row>
    <row r="61" spans="1:19" ht="22" customHeight="1" x14ac:dyDescent="0.25">
      <c r="A61" s="15"/>
      <c r="B61" s="39" t="s">
        <v>53</v>
      </c>
      <c r="C61" s="39" t="s">
        <v>69</v>
      </c>
      <c r="D61" s="40">
        <v>525.53471294424105</v>
      </c>
      <c r="E61" s="40">
        <f t="shared" si="23"/>
        <v>350.9904918032787</v>
      </c>
      <c r="F61" s="41">
        <f t="shared" si="3"/>
        <v>0.66787308841484383</v>
      </c>
      <c r="G61" s="41">
        <f t="shared" si="6"/>
        <v>0.62446133766787904</v>
      </c>
      <c r="H61" s="42">
        <f t="shared" ca="1" si="4"/>
        <v>3.1875761037981183E-2</v>
      </c>
      <c r="I61" s="40">
        <v>0.9</v>
      </c>
      <c r="J61" s="40">
        <v>0</v>
      </c>
      <c r="K61" s="40" t="s">
        <v>113</v>
      </c>
      <c r="L61" s="40">
        <v>205</v>
      </c>
      <c r="M61" s="56">
        <f t="shared" si="24"/>
        <v>205.9</v>
      </c>
      <c r="N61" s="40">
        <v>28.495737704918</v>
      </c>
      <c r="O61" s="40">
        <v>44.8947540983607</v>
      </c>
      <c r="P61" s="40">
        <v>72.599999999999994</v>
      </c>
      <c r="Q61" s="40">
        <v>205</v>
      </c>
      <c r="R61" s="61">
        <v>0.93500000000000005</v>
      </c>
      <c r="S61" s="15"/>
    </row>
    <row r="62" spans="1:19" ht="22" customHeight="1" x14ac:dyDescent="0.25">
      <c r="A62" s="15"/>
      <c r="B62" s="39" t="s">
        <v>53</v>
      </c>
      <c r="C62" s="39" t="s">
        <v>19</v>
      </c>
      <c r="D62" s="40">
        <v>427.37391048087602</v>
      </c>
      <c r="E62" s="40">
        <f t="shared" si="23"/>
        <v>110.9072131147541</v>
      </c>
      <c r="F62" s="41">
        <f t="shared" si="3"/>
        <v>0.25950861855362822</v>
      </c>
      <c r="G62" s="41">
        <f t="shared" si="6"/>
        <v>0.51642215092172017</v>
      </c>
      <c r="H62" s="42">
        <f t="shared" ca="1" si="4"/>
        <v>1.2385638612786801E-2</v>
      </c>
      <c r="I62" s="40">
        <v>3.7</v>
      </c>
      <c r="J62" s="40">
        <v>0</v>
      </c>
      <c r="K62" s="40" t="s">
        <v>113</v>
      </c>
      <c r="L62" s="40">
        <v>23</v>
      </c>
      <c r="M62" s="56">
        <f t="shared" si="24"/>
        <v>26.7</v>
      </c>
      <c r="N62" s="40">
        <v>44.874098360655701</v>
      </c>
      <c r="O62" s="40">
        <v>17.133114754098401</v>
      </c>
      <c r="P62" s="40">
        <v>25.9</v>
      </c>
      <c r="Q62" s="40">
        <v>23</v>
      </c>
      <c r="R62" s="61">
        <v>1.99</v>
      </c>
      <c r="S62" s="15"/>
    </row>
    <row r="63" spans="1:19" ht="22" customHeight="1" x14ac:dyDescent="0.25">
      <c r="A63" s="15"/>
      <c r="B63" s="39" t="s">
        <v>53</v>
      </c>
      <c r="C63" s="39" t="s">
        <v>12</v>
      </c>
      <c r="D63" s="40">
        <v>593.506678889093</v>
      </c>
      <c r="E63" s="40">
        <f t="shared" si="23"/>
        <v>195.60950819672132</v>
      </c>
      <c r="F63" s="41">
        <f t="shared" si="3"/>
        <v>0.32958265703573381</v>
      </c>
      <c r="G63" s="41">
        <f t="shared" si="6"/>
        <v>0.34935761645787783</v>
      </c>
      <c r="H63" s="42">
        <f t="shared" ca="1" si="4"/>
        <v>1.5730081358523659E-2</v>
      </c>
      <c r="I63" s="40">
        <v>0</v>
      </c>
      <c r="J63" s="40">
        <v>0</v>
      </c>
      <c r="K63" s="40" t="s">
        <v>113</v>
      </c>
      <c r="L63" s="40">
        <v>28.4</v>
      </c>
      <c r="M63" s="56">
        <f t="shared" si="24"/>
        <v>28.4</v>
      </c>
      <c r="N63" s="40">
        <v>36.309508196721303</v>
      </c>
      <c r="O63" s="40">
        <v>0</v>
      </c>
      <c r="P63" s="40">
        <v>64.900000000000006</v>
      </c>
      <c r="Q63" s="40">
        <v>94.4</v>
      </c>
      <c r="R63" s="61">
        <v>1.06</v>
      </c>
      <c r="S63" s="15"/>
    </row>
    <row r="64" spans="1:19" ht="22" customHeight="1" x14ac:dyDescent="0.25">
      <c r="A64" s="15"/>
      <c r="B64" s="39" t="s">
        <v>53</v>
      </c>
      <c r="C64" s="39" t="s">
        <v>42</v>
      </c>
      <c r="D64" s="40">
        <v>482.80086764451897</v>
      </c>
      <c r="E64" s="40">
        <f t="shared" si="23"/>
        <v>79.379344262295078</v>
      </c>
      <c r="F64" s="41">
        <f t="shared" si="3"/>
        <v>0.16441425354011838</v>
      </c>
      <c r="G64" s="41">
        <f t="shared" si="6"/>
        <v>0.12002240508428641</v>
      </c>
      <c r="H64" s="42">
        <f t="shared" ca="1" si="4"/>
        <v>7.8470439189601941E-3</v>
      </c>
      <c r="I64" s="40">
        <v>0</v>
      </c>
      <c r="J64" s="40">
        <v>0</v>
      </c>
      <c r="K64" s="40" t="s">
        <v>113</v>
      </c>
      <c r="L64" s="40">
        <v>0</v>
      </c>
      <c r="M64" s="56">
        <f t="shared" si="24"/>
        <v>0</v>
      </c>
      <c r="N64" s="40">
        <v>4.1793442622950803</v>
      </c>
      <c r="O64" s="40">
        <v>0</v>
      </c>
      <c r="P64" s="40">
        <v>7.9</v>
      </c>
      <c r="Q64" s="40">
        <v>67.3</v>
      </c>
      <c r="R64" s="61">
        <v>0.73</v>
      </c>
      <c r="S64" s="15"/>
    </row>
    <row r="65" spans="1:19" ht="22" customHeight="1" x14ac:dyDescent="0.25">
      <c r="A65" s="15"/>
      <c r="B65" s="39" t="s">
        <v>53</v>
      </c>
      <c r="C65" s="39" t="s">
        <v>34</v>
      </c>
      <c r="D65" s="40">
        <v>658.21357036035295</v>
      </c>
      <c r="E65" s="40">
        <f t="shared" si="23"/>
        <v>97.304262295081998</v>
      </c>
      <c r="F65" s="41">
        <f t="shared" si="3"/>
        <v>0.14783083588174994</v>
      </c>
      <c r="G65" s="41">
        <f t="shared" si="6"/>
        <v>0.10495989347604245</v>
      </c>
      <c r="H65" s="42">
        <f t="shared" ca="1" si="4"/>
        <v>7.0555626216289745E-3</v>
      </c>
      <c r="I65" s="40">
        <v>0.4</v>
      </c>
      <c r="J65" s="40">
        <v>14.6</v>
      </c>
      <c r="K65" s="40" t="s">
        <v>113</v>
      </c>
      <c r="L65" s="40">
        <v>0</v>
      </c>
      <c r="M65" s="56">
        <f t="shared" si="24"/>
        <v>15</v>
      </c>
      <c r="N65" s="40">
        <v>18.087540983606601</v>
      </c>
      <c r="O65" s="40">
        <v>25.116721311475398</v>
      </c>
      <c r="P65" s="40">
        <v>54.1</v>
      </c>
      <c r="Q65" s="40">
        <v>0</v>
      </c>
      <c r="R65" s="61">
        <v>0.71</v>
      </c>
      <c r="S65" s="15"/>
    </row>
    <row r="66" spans="1:19" ht="22" customHeight="1" x14ac:dyDescent="0.25">
      <c r="A66" s="15"/>
      <c r="B66" s="39" t="s">
        <v>53</v>
      </c>
      <c r="C66" s="39" t="s">
        <v>59</v>
      </c>
      <c r="D66" s="40">
        <v>470.14062010155999</v>
      </c>
      <c r="E66" s="40">
        <f t="shared" si="23"/>
        <v>19.478360655737699</v>
      </c>
      <c r="F66" s="41">
        <f t="shared" si="3"/>
        <v>4.1430924755087049E-2</v>
      </c>
      <c r="G66" s="41">
        <f t="shared" si="6"/>
        <v>2.8380183457234632E-2</v>
      </c>
      <c r="H66" s="42">
        <f t="shared" ca="1" si="4"/>
        <v>1.9773850451291547E-3</v>
      </c>
      <c r="I66" s="40">
        <v>0.5</v>
      </c>
      <c r="J66" s="40">
        <v>0</v>
      </c>
      <c r="K66" s="40" t="s">
        <v>113</v>
      </c>
      <c r="L66" s="40">
        <v>0</v>
      </c>
      <c r="M66" s="56">
        <f t="shared" si="24"/>
        <v>0.5</v>
      </c>
      <c r="N66" s="40">
        <v>3.0783606557377001</v>
      </c>
      <c r="O66" s="40">
        <v>0</v>
      </c>
      <c r="P66" s="40">
        <v>16.399999999999999</v>
      </c>
      <c r="Q66" s="40">
        <v>0</v>
      </c>
      <c r="R66" s="61">
        <v>0.68500000000000005</v>
      </c>
      <c r="S66" s="15"/>
    </row>
    <row r="67" spans="1:19" ht="22" customHeight="1" x14ac:dyDescent="0.25">
      <c r="B67" s="43" t="s">
        <v>53</v>
      </c>
      <c r="C67" s="43" t="s">
        <v>53</v>
      </c>
      <c r="D67" s="44">
        <f>SUM(D60:D66)</f>
        <v>3837.7964151034867</v>
      </c>
      <c r="E67" s="44">
        <f>SUM(E60:E66)</f>
        <v>1580.7409836065578</v>
      </c>
      <c r="F67" s="45">
        <f t="shared" si="3"/>
        <v>0.4118876596438566</v>
      </c>
      <c r="G67" s="45" t="s">
        <v>148</v>
      </c>
      <c r="H67" s="46">
        <f t="shared" ref="H67" ca="1" si="25">F67*_xlfn.DAYS("2024-10-31","2024-10-10")/_xlfn.DAYS("2024-10-31",NOW())</f>
        <v>-2.0643534254226704E-2</v>
      </c>
      <c r="I67" s="44">
        <f t="shared" ref="I67:Q67" si="26">SUM(I60:I66)</f>
        <v>11.1</v>
      </c>
      <c r="J67" s="44">
        <f t="shared" si="26"/>
        <v>18.2</v>
      </c>
      <c r="K67" s="44">
        <f t="shared" si="26"/>
        <v>0</v>
      </c>
      <c r="L67" s="44">
        <f t="shared" si="26"/>
        <v>274.8</v>
      </c>
      <c r="M67" s="57">
        <f t="shared" si="26"/>
        <v>304.09999999999997</v>
      </c>
      <c r="N67" s="44">
        <f t="shared" si="26"/>
        <v>243.30098360655739</v>
      </c>
      <c r="O67" s="44">
        <f t="shared" si="26"/>
        <v>196.24000000000049</v>
      </c>
      <c r="P67" s="44">
        <f t="shared" si="26"/>
        <v>323</v>
      </c>
      <c r="Q67" s="44">
        <f t="shared" si="26"/>
        <v>818.19999999999993</v>
      </c>
      <c r="R67" s="61" t="s">
        <v>148</v>
      </c>
    </row>
  </sheetData>
  <mergeCells count="5">
    <mergeCell ref="B1:R1"/>
    <mergeCell ref="B4:F4"/>
    <mergeCell ref="I10:M10"/>
    <mergeCell ref="N10:Q10"/>
    <mergeCell ref="O4:R8"/>
  </mergeCells>
  <phoneticPr fontId="28" type="noConversion"/>
  <conditionalFormatting sqref="F9:F1048576 F2:F3">
    <cfRule type="dataBar" priority="4">
      <dataBar>
        <cfvo type="min"/>
        <cfvo type="max"/>
        <color rgb="FFFFB628"/>
      </dataBar>
      <extLst>
        <ext xmlns:x14="http://schemas.microsoft.com/office/spreadsheetml/2009/9/main" uri="{B025F937-C7B1-47D3-B67F-A62EFF666E3E}">
          <x14:id>{73ADE3FA-30D0-473C-BFBD-F0D69784262E}</x14:id>
        </ext>
      </extLst>
    </cfRule>
  </conditionalFormatting>
  <conditionalFormatting sqref="F29">
    <cfRule type="dataBar" priority="12">
      <dataBar>
        <cfvo type="min"/>
        <cfvo type="max"/>
        <color rgb="FFFFB628"/>
      </dataBar>
      <extLst>
        <ext xmlns:x14="http://schemas.microsoft.com/office/spreadsheetml/2009/9/main" uri="{B025F937-C7B1-47D3-B67F-A62EFF666E3E}">
          <x14:id>{0A00AF38-FB0C-4CE4-8BBA-0387B8B40F2C}</x14:id>
        </ext>
      </extLst>
    </cfRule>
  </conditionalFormatting>
  <conditionalFormatting sqref="F37">
    <cfRule type="dataBar" priority="11">
      <dataBar>
        <cfvo type="min"/>
        <cfvo type="max"/>
        <color rgb="FFFFB628"/>
      </dataBar>
      <extLst>
        <ext xmlns:x14="http://schemas.microsoft.com/office/spreadsheetml/2009/9/main" uri="{B025F937-C7B1-47D3-B67F-A62EFF666E3E}">
          <x14:id>{5C6A5A20-11F8-4672-B420-07393ED401A6}</x14:id>
        </ext>
      </extLst>
    </cfRule>
  </conditionalFormatting>
  <conditionalFormatting sqref="F44">
    <cfRule type="dataBar" priority="10">
      <dataBar>
        <cfvo type="min"/>
        <cfvo type="max"/>
        <color rgb="FFFFB628"/>
      </dataBar>
      <extLst>
        <ext xmlns:x14="http://schemas.microsoft.com/office/spreadsheetml/2009/9/main" uri="{B025F937-C7B1-47D3-B67F-A62EFF666E3E}">
          <x14:id>{B993DCA1-3BA0-457C-83C8-3024BE919FD9}</x14:id>
        </ext>
      </extLst>
    </cfRule>
  </conditionalFormatting>
  <conditionalFormatting sqref="F51">
    <cfRule type="dataBar" priority="9">
      <dataBar>
        <cfvo type="min"/>
        <cfvo type="max"/>
        <color rgb="FFFFB628"/>
      </dataBar>
      <extLst>
        <ext xmlns:x14="http://schemas.microsoft.com/office/spreadsheetml/2009/9/main" uri="{B025F937-C7B1-47D3-B67F-A62EFF666E3E}">
          <x14:id>{595B72B5-862E-4B55-8699-12E72C4784B8}</x14:id>
        </ext>
      </extLst>
    </cfRule>
  </conditionalFormatting>
  <conditionalFormatting sqref="F59">
    <cfRule type="dataBar" priority="8">
      <dataBar>
        <cfvo type="min"/>
        <cfvo type="max"/>
        <color rgb="FFFFB628"/>
      </dataBar>
      <extLst>
        <ext xmlns:x14="http://schemas.microsoft.com/office/spreadsheetml/2009/9/main" uri="{B025F937-C7B1-47D3-B67F-A62EFF666E3E}">
          <x14:id>{B8BDBDE5-C7FB-409F-8F5E-87391B4C98CD}</x14:id>
        </ext>
      </extLst>
    </cfRule>
  </conditionalFormatting>
  <conditionalFormatting sqref="F67">
    <cfRule type="dataBar" priority="7">
      <dataBar>
        <cfvo type="min"/>
        <cfvo type="max"/>
        <color rgb="FFFFB628"/>
      </dataBar>
      <extLst>
        <ext xmlns:x14="http://schemas.microsoft.com/office/spreadsheetml/2009/9/main" uri="{B025F937-C7B1-47D3-B67F-A62EFF666E3E}">
          <x14:id>{A279D965-B2FD-4D3F-82DC-3A01B4841699}</x14:id>
        </ext>
      </extLst>
    </cfRule>
  </conditionalFormatting>
  <conditionalFormatting sqref="F11:G12 F30:F36 F38:F43 F45:F50 F52:F58 F60:F66 F13:F28">
    <cfRule type="dataBar" priority="13">
      <dataBar>
        <cfvo type="min"/>
        <cfvo type="max"/>
        <color rgb="FFFFB628"/>
      </dataBar>
      <extLst>
        <ext xmlns:x14="http://schemas.microsoft.com/office/spreadsheetml/2009/9/main" uri="{B025F937-C7B1-47D3-B67F-A62EFF666E3E}">
          <x14:id>{AC8C472C-9309-49F9-8FE6-22AB4EB8FF8A}</x14:id>
        </ext>
      </extLst>
    </cfRule>
  </conditionalFormatting>
  <conditionalFormatting sqref="G9:G1048576">
    <cfRule type="dataBar" priority="3">
      <dataBar>
        <cfvo type="min"/>
        <cfvo type="max"/>
        <color rgb="FFFF555A"/>
      </dataBar>
      <extLst>
        <ext xmlns:x14="http://schemas.microsoft.com/office/spreadsheetml/2009/9/main" uri="{B025F937-C7B1-47D3-B67F-A62EFF666E3E}">
          <x14:id>{D227759E-2275-484F-B0FB-679FF4AF23ED}</x14:id>
        </ext>
      </extLst>
    </cfRule>
  </conditionalFormatting>
  <conditionalFormatting sqref="G13:G67">
    <cfRule type="dataBar" priority="5">
      <dataBar>
        <cfvo type="min"/>
        <cfvo type="max"/>
        <color rgb="FFFF555A"/>
      </dataBar>
      <extLst>
        <ext xmlns:x14="http://schemas.microsoft.com/office/spreadsheetml/2009/9/main" uri="{B025F937-C7B1-47D3-B67F-A62EFF666E3E}">
          <x14:id>{E8C00DDE-4E1E-46F8-A135-84BCA9E04B21}</x14:id>
        </ext>
      </extLst>
    </cfRule>
  </conditionalFormatting>
  <conditionalFormatting sqref="M4">
    <cfRule type="cellIs" dxfId="2" priority="2" operator="equal">
      <formula>0</formula>
    </cfRule>
  </conditionalFormatting>
  <conditionalFormatting sqref="N6:N8">
    <cfRule type="dataBar" priority="15">
      <dataBar>
        <cfvo type="min"/>
        <cfvo type="max"/>
        <color rgb="FF638EC6"/>
      </dataBar>
      <extLst>
        <ext xmlns:x14="http://schemas.microsoft.com/office/spreadsheetml/2009/9/main" uri="{B025F937-C7B1-47D3-B67F-A62EFF666E3E}">
          <x14:id>{33536722-3DAA-4276-B89E-DB1E93457B35}</x14:id>
        </ext>
      </extLst>
    </cfRule>
  </conditionalFormatting>
  <conditionalFormatting sqref="N11:P67">
    <cfRule type="cellIs" dxfId="1" priority="6" operator="equal">
      <formula>0</formula>
    </cfRule>
  </conditionalFormatting>
  <conditionalFormatting sqref="Q13:Q67">
    <cfRule type="cellIs" dxfId="0" priority="1" operator="equal">
      <formula>0</formula>
    </cfRule>
  </conditionalFormatting>
  <conditionalFormatting sqref="R68:R1048576 R2:R3 R9:R11">
    <cfRule type="dataBar" priority="14">
      <dataBar>
        <cfvo type="min"/>
        <cfvo type="max"/>
        <color rgb="FF638EC6"/>
      </dataBar>
      <extLst>
        <ext xmlns:x14="http://schemas.microsoft.com/office/spreadsheetml/2009/9/main" uri="{B025F937-C7B1-47D3-B67F-A62EFF666E3E}">
          <x14:id>{59F77821-A559-4154-9795-D3B9BC828E4F}</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3ADE3FA-30D0-473C-BFBD-F0D69784262E}">
            <x14:dataBar minLength="0" maxLength="100" gradient="0">
              <x14:cfvo type="autoMin"/>
              <x14:cfvo type="autoMax"/>
              <x14:negativeFillColor rgb="FFFF0000"/>
              <x14:axisColor rgb="FF000000"/>
            </x14:dataBar>
          </x14:cfRule>
          <xm:sqref>F9:F1048576 F2:F3</xm:sqref>
        </x14:conditionalFormatting>
        <x14:conditionalFormatting xmlns:xm="http://schemas.microsoft.com/office/excel/2006/main">
          <x14:cfRule type="dataBar" id="{0A00AF38-FB0C-4CE4-8BBA-0387B8B40F2C}">
            <x14:dataBar minLength="0" maxLength="100" gradient="0">
              <x14:cfvo type="autoMin"/>
              <x14:cfvo type="autoMax"/>
              <x14:negativeFillColor rgb="FFFF0000"/>
              <x14:axisColor rgb="FF000000"/>
            </x14:dataBar>
          </x14:cfRule>
          <xm:sqref>F29</xm:sqref>
        </x14:conditionalFormatting>
        <x14:conditionalFormatting xmlns:xm="http://schemas.microsoft.com/office/excel/2006/main">
          <x14:cfRule type="dataBar" id="{5C6A5A20-11F8-4672-B420-07393ED401A6}">
            <x14:dataBar minLength="0" maxLength="100" gradient="0">
              <x14:cfvo type="autoMin"/>
              <x14:cfvo type="autoMax"/>
              <x14:negativeFillColor rgb="FFFF0000"/>
              <x14:axisColor rgb="FF000000"/>
            </x14:dataBar>
          </x14:cfRule>
          <xm:sqref>F37</xm:sqref>
        </x14:conditionalFormatting>
        <x14:conditionalFormatting xmlns:xm="http://schemas.microsoft.com/office/excel/2006/main">
          <x14:cfRule type="dataBar" id="{B993DCA1-3BA0-457C-83C8-3024BE919FD9}">
            <x14:dataBar minLength="0" maxLength="100" gradient="0">
              <x14:cfvo type="autoMin"/>
              <x14:cfvo type="autoMax"/>
              <x14:negativeFillColor rgb="FFFF0000"/>
              <x14:axisColor rgb="FF000000"/>
            </x14:dataBar>
          </x14:cfRule>
          <xm:sqref>F44</xm:sqref>
        </x14:conditionalFormatting>
        <x14:conditionalFormatting xmlns:xm="http://schemas.microsoft.com/office/excel/2006/main">
          <x14:cfRule type="dataBar" id="{595B72B5-862E-4B55-8699-12E72C4784B8}">
            <x14:dataBar minLength="0" maxLength="100" gradient="0">
              <x14:cfvo type="autoMin"/>
              <x14:cfvo type="autoMax"/>
              <x14:negativeFillColor rgb="FFFF0000"/>
              <x14:axisColor rgb="FF000000"/>
            </x14:dataBar>
          </x14:cfRule>
          <xm:sqref>F51</xm:sqref>
        </x14:conditionalFormatting>
        <x14:conditionalFormatting xmlns:xm="http://schemas.microsoft.com/office/excel/2006/main">
          <x14:cfRule type="dataBar" id="{B8BDBDE5-C7FB-409F-8F5E-87391B4C98CD}">
            <x14:dataBar minLength="0" maxLength="100" gradient="0">
              <x14:cfvo type="autoMin"/>
              <x14:cfvo type="autoMax"/>
              <x14:negativeFillColor rgb="FFFF0000"/>
              <x14:axisColor rgb="FF000000"/>
            </x14:dataBar>
          </x14:cfRule>
          <xm:sqref>F59</xm:sqref>
        </x14:conditionalFormatting>
        <x14:conditionalFormatting xmlns:xm="http://schemas.microsoft.com/office/excel/2006/main">
          <x14:cfRule type="dataBar" id="{A279D965-B2FD-4D3F-82DC-3A01B4841699}">
            <x14:dataBar minLength="0" maxLength="100" gradient="0">
              <x14:cfvo type="autoMin"/>
              <x14:cfvo type="autoMax"/>
              <x14:negativeFillColor rgb="FFFF0000"/>
              <x14:axisColor rgb="FF000000"/>
            </x14:dataBar>
          </x14:cfRule>
          <xm:sqref>F67</xm:sqref>
        </x14:conditionalFormatting>
        <x14:conditionalFormatting xmlns:xm="http://schemas.microsoft.com/office/excel/2006/main">
          <x14:cfRule type="dataBar" id="{AC8C472C-9309-49F9-8FE6-22AB4EB8FF8A}">
            <x14:dataBar minLength="0" maxLength="100" gradient="0">
              <x14:cfvo type="autoMin"/>
              <x14:cfvo type="autoMax"/>
              <x14:negativeFillColor rgb="FFFF0000"/>
              <x14:axisColor rgb="FF000000"/>
            </x14:dataBar>
          </x14:cfRule>
          <xm:sqref>F11:G12 F30:F36 F38:F43 F45:F50 F52:F58 F60:F66 F13:F28</xm:sqref>
        </x14:conditionalFormatting>
        <x14:conditionalFormatting xmlns:xm="http://schemas.microsoft.com/office/excel/2006/main">
          <x14:cfRule type="dataBar" id="{D227759E-2275-484F-B0FB-679FF4AF23ED}">
            <x14:dataBar minLength="0" maxLength="100" gradient="0">
              <x14:cfvo type="autoMin"/>
              <x14:cfvo type="autoMax"/>
              <x14:negativeFillColor rgb="FFFF0000"/>
              <x14:axisColor rgb="FF000000"/>
            </x14:dataBar>
          </x14:cfRule>
          <xm:sqref>G9:G1048576</xm:sqref>
        </x14:conditionalFormatting>
        <x14:conditionalFormatting xmlns:xm="http://schemas.microsoft.com/office/excel/2006/main">
          <x14:cfRule type="dataBar" id="{E8C00DDE-4E1E-46F8-A135-84BCA9E04B21}">
            <x14:dataBar minLength="0" maxLength="100" gradient="0">
              <x14:cfvo type="autoMin"/>
              <x14:cfvo type="autoMax"/>
              <x14:negativeFillColor rgb="FFFF0000"/>
              <x14:axisColor rgb="FF000000"/>
            </x14:dataBar>
          </x14:cfRule>
          <xm:sqref>G13:G67</xm:sqref>
        </x14:conditionalFormatting>
        <x14:conditionalFormatting xmlns:xm="http://schemas.microsoft.com/office/excel/2006/main">
          <x14:cfRule type="iconSet" priority="16" id="{F36EE9D4-E76C-4E1B-B7EC-C9A5CE12D890}">
            <x14:iconSet iconSet="3Triangles" showValue="0">
              <x14:cfvo type="percent">
                <xm:f>0</xm:f>
              </x14:cfvo>
              <x14:cfvo type="num">
                <xm:f>-0.1</xm:f>
              </x14:cfvo>
              <x14:cfvo type="num">
                <xm:f>0.1</xm:f>
              </x14:cfvo>
            </x14:iconSet>
          </x14:cfRule>
          <xm:sqref>I6:M6</xm:sqref>
        </x14:conditionalFormatting>
        <x14:conditionalFormatting xmlns:xm="http://schemas.microsoft.com/office/excel/2006/main">
          <x14:cfRule type="dataBar" id="{33536722-3DAA-4276-B89E-DB1E93457B35}">
            <x14:dataBar minLength="0" maxLength="100" gradient="0">
              <x14:cfvo type="autoMin"/>
              <x14:cfvo type="autoMax"/>
              <x14:negativeFillColor rgb="FFFF0000"/>
              <x14:axisColor rgb="FF000000"/>
            </x14:dataBar>
          </x14:cfRule>
          <xm:sqref>N6:N8</xm:sqref>
        </x14:conditionalFormatting>
        <x14:conditionalFormatting xmlns:xm="http://schemas.microsoft.com/office/excel/2006/main">
          <x14:cfRule type="dataBar" id="{59F77821-A559-4154-9795-D3B9BC828E4F}">
            <x14:dataBar minLength="0" maxLength="100" gradient="0">
              <x14:cfvo type="autoMin"/>
              <x14:cfvo type="autoMax"/>
              <x14:negativeFillColor rgb="FFFF0000"/>
              <x14:axisColor rgb="FF000000"/>
            </x14:dataBar>
          </x14:cfRule>
          <xm:sqref>R68:R1048576 R2:R3 R9:R11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14981536301767021"/>
  </sheetPr>
  <dimension ref="B2:O47"/>
  <sheetViews>
    <sheetView workbookViewId="0">
      <selection activeCell="S16" sqref="S16"/>
    </sheetView>
  </sheetViews>
  <sheetFormatPr defaultColWidth="9" defaultRowHeight="14" x14ac:dyDescent="0.25"/>
  <cols>
    <col min="1" max="1" width="5.36328125" customWidth="1"/>
  </cols>
  <sheetData>
    <row r="2" spans="2:15" ht="13.5" customHeight="1" x14ac:dyDescent="0.25">
      <c r="B2" s="112" t="s">
        <v>151</v>
      </c>
      <c r="C2" s="112"/>
      <c r="D2" s="112"/>
      <c r="E2" s="112"/>
      <c r="F2" s="112"/>
      <c r="G2" s="112"/>
      <c r="H2" s="112"/>
      <c r="I2" s="112"/>
      <c r="J2" s="112"/>
      <c r="K2" s="112"/>
      <c r="L2" s="112"/>
      <c r="M2" s="112"/>
      <c r="N2" s="112"/>
      <c r="O2" s="11"/>
    </row>
    <row r="3" spans="2:15" ht="13.5" customHeight="1" x14ac:dyDescent="0.25">
      <c r="B3" s="112"/>
      <c r="C3" s="112"/>
      <c r="D3" s="112"/>
      <c r="E3" s="112"/>
      <c r="F3" s="112"/>
      <c r="G3" s="112"/>
      <c r="H3" s="112"/>
      <c r="I3" s="112"/>
      <c r="J3" s="112"/>
      <c r="K3" s="112"/>
      <c r="L3" s="112"/>
      <c r="M3" s="112"/>
      <c r="N3" s="112"/>
      <c r="O3" s="11"/>
    </row>
    <row r="4" spans="2:15" ht="13.5" customHeight="1" x14ac:dyDescent="0.25">
      <c r="B4" s="112"/>
      <c r="C4" s="112"/>
      <c r="D4" s="112"/>
      <c r="E4" s="112"/>
      <c r="F4" s="112"/>
      <c r="G4" s="112"/>
      <c r="H4" s="112"/>
      <c r="I4" s="112"/>
      <c r="J4" s="112"/>
      <c r="K4" s="112"/>
      <c r="L4" s="112"/>
      <c r="M4" s="112"/>
      <c r="N4" s="112"/>
      <c r="O4" s="11"/>
    </row>
    <row r="5" spans="2:15" ht="13.5" customHeight="1" x14ac:dyDescent="0.25">
      <c r="B5" s="112"/>
      <c r="C5" s="112"/>
      <c r="D5" s="112"/>
      <c r="E5" s="112"/>
      <c r="F5" s="112"/>
      <c r="G5" s="112"/>
      <c r="H5" s="112"/>
      <c r="I5" s="112"/>
      <c r="J5" s="112"/>
      <c r="K5" s="112"/>
      <c r="L5" s="112"/>
      <c r="M5" s="112"/>
      <c r="N5" s="112"/>
      <c r="O5" s="11"/>
    </row>
    <row r="6" spans="2:15" ht="13.5" customHeight="1" x14ac:dyDescent="0.25">
      <c r="B6" s="112"/>
      <c r="C6" s="112"/>
      <c r="D6" s="112"/>
      <c r="E6" s="112"/>
      <c r="F6" s="112"/>
      <c r="G6" s="112"/>
      <c r="H6" s="112"/>
      <c r="I6" s="112"/>
      <c r="J6" s="112"/>
      <c r="K6" s="112"/>
      <c r="L6" s="112"/>
      <c r="M6" s="112"/>
      <c r="N6" s="112"/>
      <c r="O6" s="11"/>
    </row>
    <row r="7" spans="2:15" ht="13.5" customHeight="1" x14ac:dyDescent="0.25">
      <c r="B7" s="112"/>
      <c r="C7" s="112"/>
      <c r="D7" s="112"/>
      <c r="E7" s="112"/>
      <c r="F7" s="112"/>
      <c r="G7" s="112"/>
      <c r="H7" s="112"/>
      <c r="I7" s="112"/>
      <c r="J7" s="112"/>
      <c r="K7" s="112"/>
      <c r="L7" s="112"/>
      <c r="M7" s="112"/>
      <c r="N7" s="112"/>
      <c r="O7" s="11"/>
    </row>
    <row r="8" spans="2:15" ht="13.5" customHeight="1" x14ac:dyDescent="0.25">
      <c r="B8" s="112"/>
      <c r="C8" s="112"/>
      <c r="D8" s="112"/>
      <c r="E8" s="112"/>
      <c r="F8" s="112"/>
      <c r="G8" s="112"/>
      <c r="H8" s="112"/>
      <c r="I8" s="112"/>
      <c r="J8" s="112"/>
      <c r="K8" s="112"/>
      <c r="L8" s="112"/>
      <c r="M8" s="112"/>
      <c r="N8" s="112"/>
      <c r="O8" s="11"/>
    </row>
    <row r="9" spans="2:15" ht="13.5" customHeight="1" x14ac:dyDescent="0.25">
      <c r="B9" s="112"/>
      <c r="C9" s="112"/>
      <c r="D9" s="112"/>
      <c r="E9" s="112"/>
      <c r="F9" s="112"/>
      <c r="G9" s="112"/>
      <c r="H9" s="112"/>
      <c r="I9" s="112"/>
      <c r="J9" s="112"/>
      <c r="K9" s="112"/>
      <c r="L9" s="112"/>
      <c r="M9" s="112"/>
      <c r="N9" s="112"/>
      <c r="O9" s="11"/>
    </row>
    <row r="10" spans="2:15" ht="13.5" customHeight="1" x14ac:dyDescent="0.25">
      <c r="B10" s="112"/>
      <c r="C10" s="112"/>
      <c r="D10" s="112"/>
      <c r="E10" s="112"/>
      <c r="F10" s="112"/>
      <c r="G10" s="112"/>
      <c r="H10" s="112"/>
      <c r="I10" s="112"/>
      <c r="J10" s="112"/>
      <c r="K10" s="112"/>
      <c r="L10" s="112"/>
      <c r="M10" s="112"/>
      <c r="N10" s="112"/>
      <c r="O10" s="11"/>
    </row>
    <row r="11" spans="2:15" ht="13.5" customHeight="1" x14ac:dyDescent="0.25">
      <c r="B11" s="112"/>
      <c r="C11" s="112"/>
      <c r="D11" s="112"/>
      <c r="E11" s="112"/>
      <c r="F11" s="112"/>
      <c r="G11" s="112"/>
      <c r="H11" s="112"/>
      <c r="I11" s="112"/>
      <c r="J11" s="112"/>
      <c r="K11" s="112"/>
      <c r="L11" s="112"/>
      <c r="M11" s="112"/>
      <c r="N11" s="112"/>
      <c r="O11" s="11"/>
    </row>
    <row r="12" spans="2:15" ht="13.5" customHeight="1" x14ac:dyDescent="0.25">
      <c r="B12" s="112"/>
      <c r="C12" s="112"/>
      <c r="D12" s="112"/>
      <c r="E12" s="112"/>
      <c r="F12" s="112"/>
      <c r="G12" s="112"/>
      <c r="H12" s="112"/>
      <c r="I12" s="112"/>
      <c r="J12" s="112"/>
      <c r="K12" s="112"/>
      <c r="L12" s="112"/>
      <c r="M12" s="112"/>
      <c r="N12" s="112"/>
      <c r="O12" s="11"/>
    </row>
    <row r="13" spans="2:15" ht="13.5" customHeight="1" x14ac:dyDescent="0.25">
      <c r="B13" s="112"/>
      <c r="C13" s="112"/>
      <c r="D13" s="112"/>
      <c r="E13" s="112"/>
      <c r="F13" s="112"/>
      <c r="G13" s="112"/>
      <c r="H13" s="112"/>
      <c r="I13" s="112"/>
      <c r="J13" s="112"/>
      <c r="K13" s="112"/>
      <c r="L13" s="112"/>
      <c r="M13" s="112"/>
      <c r="N13" s="112"/>
      <c r="O13" s="11"/>
    </row>
    <row r="14" spans="2:15" ht="13.5" customHeight="1" x14ac:dyDescent="0.25">
      <c r="B14" s="112"/>
      <c r="C14" s="112"/>
      <c r="D14" s="112"/>
      <c r="E14" s="112"/>
      <c r="F14" s="112"/>
      <c r="G14" s="112"/>
      <c r="H14" s="112"/>
      <c r="I14" s="112"/>
      <c r="J14" s="112"/>
      <c r="K14" s="112"/>
      <c r="L14" s="112"/>
      <c r="M14" s="112"/>
      <c r="N14" s="112"/>
      <c r="O14" s="11"/>
    </row>
    <row r="15" spans="2:15" ht="13.5" customHeight="1" x14ac:dyDescent="0.25">
      <c r="B15" s="112"/>
      <c r="C15" s="112"/>
      <c r="D15" s="112"/>
      <c r="E15" s="112"/>
      <c r="F15" s="112"/>
      <c r="G15" s="112"/>
      <c r="H15" s="112"/>
      <c r="I15" s="112"/>
      <c r="J15" s="112"/>
      <c r="K15" s="112"/>
      <c r="L15" s="112"/>
      <c r="M15" s="112"/>
      <c r="N15" s="112"/>
      <c r="O15" s="11"/>
    </row>
    <row r="16" spans="2:15" ht="13.5" customHeight="1" x14ac:dyDescent="0.25">
      <c r="B16" s="112"/>
      <c r="C16" s="112"/>
      <c r="D16" s="112"/>
      <c r="E16" s="112"/>
      <c r="F16" s="112"/>
      <c r="G16" s="112"/>
      <c r="H16" s="112"/>
      <c r="I16" s="112"/>
      <c r="J16" s="112"/>
      <c r="K16" s="112"/>
      <c r="L16" s="112"/>
      <c r="M16" s="112"/>
      <c r="N16" s="112"/>
      <c r="O16" s="11"/>
    </row>
    <row r="17" spans="2:15" ht="13.5" customHeight="1" x14ac:dyDescent="0.25">
      <c r="B17" s="112"/>
      <c r="C17" s="112"/>
      <c r="D17" s="112"/>
      <c r="E17" s="112"/>
      <c r="F17" s="112"/>
      <c r="G17" s="112"/>
      <c r="H17" s="112"/>
      <c r="I17" s="112"/>
      <c r="J17" s="112"/>
      <c r="K17" s="112"/>
      <c r="L17" s="112"/>
      <c r="M17" s="112"/>
      <c r="N17" s="112"/>
      <c r="O17" s="11"/>
    </row>
    <row r="18" spans="2:15" ht="13.5" customHeight="1" x14ac:dyDescent="0.25">
      <c r="B18" s="112"/>
      <c r="C18" s="112"/>
      <c r="D18" s="112"/>
      <c r="E18" s="112"/>
      <c r="F18" s="112"/>
      <c r="G18" s="112"/>
      <c r="H18" s="112"/>
      <c r="I18" s="112"/>
      <c r="J18" s="112"/>
      <c r="K18" s="112"/>
      <c r="L18" s="112"/>
      <c r="M18" s="112"/>
      <c r="N18" s="112"/>
      <c r="O18" s="11"/>
    </row>
    <row r="19" spans="2:15" ht="13.5" customHeight="1" x14ac:dyDescent="0.25">
      <c r="B19" s="112"/>
      <c r="C19" s="112"/>
      <c r="D19" s="112"/>
      <c r="E19" s="112"/>
      <c r="F19" s="112"/>
      <c r="G19" s="112"/>
      <c r="H19" s="112"/>
      <c r="I19" s="112"/>
      <c r="J19" s="112"/>
      <c r="K19" s="112"/>
      <c r="L19" s="112"/>
      <c r="M19" s="112"/>
      <c r="N19" s="112"/>
      <c r="O19" s="11"/>
    </row>
    <row r="20" spans="2:15" ht="13.5" customHeight="1" x14ac:dyDescent="0.25">
      <c r="B20" s="112"/>
      <c r="C20" s="112"/>
      <c r="D20" s="112"/>
      <c r="E20" s="112"/>
      <c r="F20" s="112"/>
      <c r="G20" s="112"/>
      <c r="H20" s="112"/>
      <c r="I20" s="112"/>
      <c r="J20" s="112"/>
      <c r="K20" s="112"/>
      <c r="L20" s="112"/>
      <c r="M20" s="112"/>
      <c r="N20" s="112"/>
      <c r="O20" s="11"/>
    </row>
    <row r="21" spans="2:15" ht="13.5" customHeight="1" x14ac:dyDescent="0.25">
      <c r="B21" s="112"/>
      <c r="C21" s="112"/>
      <c r="D21" s="112"/>
      <c r="E21" s="112"/>
      <c r="F21" s="112"/>
      <c r="G21" s="112"/>
      <c r="H21" s="112"/>
      <c r="I21" s="112"/>
      <c r="J21" s="112"/>
      <c r="K21" s="112"/>
      <c r="L21" s="112"/>
      <c r="M21" s="112"/>
      <c r="N21" s="112"/>
      <c r="O21" s="11"/>
    </row>
    <row r="22" spans="2:15" ht="13.5" customHeight="1" x14ac:dyDescent="0.25">
      <c r="B22" s="112"/>
      <c r="C22" s="112"/>
      <c r="D22" s="112"/>
      <c r="E22" s="112"/>
      <c r="F22" s="112"/>
      <c r="G22" s="112"/>
      <c r="H22" s="112"/>
      <c r="I22" s="112"/>
      <c r="J22" s="112"/>
      <c r="K22" s="112"/>
      <c r="L22" s="112"/>
      <c r="M22" s="112"/>
      <c r="N22" s="112"/>
      <c r="O22" s="11"/>
    </row>
    <row r="23" spans="2:15" ht="13.5" customHeight="1" x14ac:dyDescent="0.25">
      <c r="B23" s="112"/>
      <c r="C23" s="112"/>
      <c r="D23" s="112"/>
      <c r="E23" s="112"/>
      <c r="F23" s="112"/>
      <c r="G23" s="112"/>
      <c r="H23" s="112"/>
      <c r="I23" s="112"/>
      <c r="J23" s="112"/>
      <c r="K23" s="112"/>
      <c r="L23" s="112"/>
      <c r="M23" s="112"/>
      <c r="N23" s="112"/>
      <c r="O23" s="11"/>
    </row>
    <row r="24" spans="2:15" ht="13.5" customHeight="1" x14ac:dyDescent="0.25">
      <c r="B24" s="112"/>
      <c r="C24" s="112"/>
      <c r="D24" s="112"/>
      <c r="E24" s="112"/>
      <c r="F24" s="112"/>
      <c r="G24" s="112"/>
      <c r="H24" s="112"/>
      <c r="I24" s="112"/>
      <c r="J24" s="112"/>
      <c r="K24" s="112"/>
      <c r="L24" s="112"/>
      <c r="M24" s="112"/>
      <c r="N24" s="112"/>
      <c r="O24" s="11"/>
    </row>
    <row r="25" spans="2:15" ht="13.5" customHeight="1" x14ac:dyDescent="0.25">
      <c r="B25" s="112"/>
      <c r="C25" s="112"/>
      <c r="D25" s="112"/>
      <c r="E25" s="112"/>
      <c r="F25" s="112"/>
      <c r="G25" s="112"/>
      <c r="H25" s="112"/>
      <c r="I25" s="112"/>
      <c r="J25" s="112"/>
      <c r="K25" s="112"/>
      <c r="L25" s="112"/>
      <c r="M25" s="112"/>
      <c r="N25" s="112"/>
      <c r="O25" s="11"/>
    </row>
    <row r="26" spans="2:15" ht="13.5" customHeight="1" x14ac:dyDescent="0.25">
      <c r="B26" s="11"/>
      <c r="C26" s="11"/>
      <c r="D26" s="11"/>
      <c r="E26" s="11"/>
      <c r="F26" s="11"/>
      <c r="G26" s="11"/>
      <c r="H26" s="11"/>
      <c r="I26" s="11"/>
      <c r="J26" s="11"/>
      <c r="K26" s="11"/>
      <c r="L26" s="11"/>
      <c r="M26" s="11"/>
      <c r="N26" s="11"/>
      <c r="O26" s="11"/>
    </row>
    <row r="27" spans="2:15" ht="13.5" customHeight="1" x14ac:dyDescent="0.25">
      <c r="B27" s="11"/>
      <c r="C27" s="11"/>
      <c r="D27" s="11"/>
      <c r="E27" s="11"/>
      <c r="F27" s="11"/>
      <c r="G27" s="11"/>
      <c r="H27" s="11"/>
      <c r="I27" s="11"/>
      <c r="J27" s="11"/>
      <c r="K27" s="11"/>
      <c r="L27" s="11"/>
      <c r="M27" s="11"/>
      <c r="N27" s="11"/>
      <c r="O27" s="11"/>
    </row>
    <row r="28" spans="2:15" ht="13.5" customHeight="1" x14ac:dyDescent="0.25">
      <c r="B28" s="11"/>
      <c r="C28" s="11"/>
      <c r="D28" s="11"/>
      <c r="E28" s="11"/>
      <c r="F28" s="11"/>
      <c r="G28" s="11"/>
      <c r="H28" s="11"/>
      <c r="I28" s="11"/>
      <c r="J28" s="11"/>
      <c r="K28" s="11"/>
      <c r="L28" s="11"/>
      <c r="M28" s="11"/>
      <c r="N28" s="11"/>
      <c r="O28" s="11"/>
    </row>
    <row r="29" spans="2:15" ht="13.5" customHeight="1" x14ac:dyDescent="0.25">
      <c r="B29" s="11"/>
      <c r="C29" s="11"/>
      <c r="D29" s="11"/>
      <c r="E29" s="11"/>
      <c r="F29" s="11"/>
      <c r="G29" s="11"/>
      <c r="H29" s="11"/>
      <c r="I29" s="11"/>
      <c r="J29" s="11"/>
      <c r="K29" s="11"/>
      <c r="L29" s="11"/>
      <c r="M29" s="11"/>
      <c r="N29" s="11"/>
      <c r="O29" s="11"/>
    </row>
    <row r="30" spans="2:15" ht="13.5" customHeight="1" x14ac:dyDescent="0.25">
      <c r="B30" s="11"/>
      <c r="C30" s="11"/>
      <c r="D30" s="11"/>
      <c r="E30" s="11"/>
      <c r="F30" s="11"/>
      <c r="G30" s="11"/>
      <c r="H30" s="11"/>
      <c r="I30" s="11"/>
      <c r="J30" s="11"/>
      <c r="K30" s="11"/>
      <c r="L30" s="11"/>
      <c r="M30" s="11"/>
      <c r="N30" s="11"/>
      <c r="O30" s="11"/>
    </row>
    <row r="31" spans="2:15" ht="13.5" customHeight="1" x14ac:dyDescent="0.25">
      <c r="B31" s="11"/>
      <c r="C31" s="11"/>
      <c r="D31" s="11"/>
      <c r="E31" s="11"/>
      <c r="F31" s="11"/>
      <c r="G31" s="11"/>
      <c r="H31" s="11"/>
      <c r="I31" s="11"/>
      <c r="J31" s="11"/>
      <c r="K31" s="11"/>
      <c r="L31" s="11"/>
      <c r="M31" s="11"/>
      <c r="N31" s="11"/>
      <c r="O31" s="11"/>
    </row>
    <row r="32" spans="2:15" ht="13.5" customHeight="1" x14ac:dyDescent="0.25">
      <c r="B32" s="11"/>
      <c r="C32" s="11"/>
      <c r="D32" s="11"/>
      <c r="E32" s="11"/>
      <c r="F32" s="11"/>
      <c r="G32" s="11"/>
      <c r="H32" s="11"/>
      <c r="I32" s="11"/>
      <c r="J32" s="11"/>
      <c r="K32" s="11"/>
      <c r="L32" s="11"/>
      <c r="M32" s="11"/>
      <c r="N32" s="11"/>
      <c r="O32" s="11"/>
    </row>
    <row r="33" spans="2:15" ht="13.5" customHeight="1" x14ac:dyDescent="0.25">
      <c r="B33" s="11"/>
      <c r="C33" s="11"/>
      <c r="D33" s="11"/>
      <c r="E33" s="11"/>
      <c r="F33" s="11"/>
      <c r="G33" s="11"/>
      <c r="H33" s="11"/>
      <c r="I33" s="11"/>
      <c r="J33" s="11"/>
      <c r="K33" s="11"/>
      <c r="L33" s="11"/>
      <c r="M33" s="11"/>
      <c r="N33" s="11"/>
      <c r="O33" s="11"/>
    </row>
    <row r="34" spans="2:15" ht="13.5" customHeight="1" x14ac:dyDescent="0.25">
      <c r="B34" s="11"/>
      <c r="C34" s="11"/>
      <c r="D34" s="11"/>
      <c r="E34" s="11"/>
      <c r="F34" s="11"/>
      <c r="G34" s="11"/>
      <c r="H34" s="11"/>
      <c r="I34" s="11"/>
      <c r="J34" s="11"/>
      <c r="K34" s="11"/>
      <c r="L34" s="11"/>
      <c r="M34" s="11"/>
      <c r="N34" s="11"/>
      <c r="O34" s="11"/>
    </row>
    <row r="35" spans="2:15" ht="13.5" customHeight="1" x14ac:dyDescent="0.25">
      <c r="B35" s="11"/>
      <c r="C35" s="11"/>
      <c r="D35" s="11"/>
      <c r="E35" s="11"/>
      <c r="F35" s="11"/>
      <c r="G35" s="11"/>
      <c r="H35" s="11"/>
      <c r="I35" s="11"/>
      <c r="J35" s="11"/>
      <c r="K35" s="11"/>
      <c r="L35" s="11"/>
      <c r="M35" s="11"/>
      <c r="N35" s="11"/>
      <c r="O35" s="11"/>
    </row>
    <row r="36" spans="2:15" ht="13.5" customHeight="1" x14ac:dyDescent="0.25">
      <c r="B36" s="11"/>
      <c r="C36" s="11"/>
      <c r="D36" s="11"/>
      <c r="E36" s="11"/>
      <c r="F36" s="11"/>
      <c r="G36" s="11"/>
      <c r="H36" s="11"/>
      <c r="I36" s="11"/>
      <c r="J36" s="11"/>
      <c r="K36" s="11"/>
      <c r="L36" s="11"/>
      <c r="M36" s="11"/>
      <c r="N36" s="11"/>
      <c r="O36" s="11"/>
    </row>
    <row r="37" spans="2:15" ht="13.5" customHeight="1" x14ac:dyDescent="0.25">
      <c r="B37" s="11"/>
      <c r="C37" s="11"/>
      <c r="D37" s="11"/>
      <c r="E37" s="11"/>
      <c r="F37" s="11"/>
      <c r="G37" s="11"/>
      <c r="H37" s="11"/>
      <c r="I37" s="11"/>
      <c r="J37" s="11"/>
      <c r="K37" s="11"/>
      <c r="L37" s="11"/>
      <c r="M37" s="11"/>
      <c r="N37" s="11"/>
      <c r="O37" s="11"/>
    </row>
    <row r="38" spans="2:15" ht="13.5" customHeight="1" x14ac:dyDescent="0.25">
      <c r="B38" s="11"/>
      <c r="C38" s="11"/>
      <c r="D38" s="11"/>
      <c r="E38" s="11"/>
      <c r="F38" s="11"/>
      <c r="G38" s="11"/>
      <c r="H38" s="11"/>
      <c r="I38" s="11"/>
      <c r="J38" s="11"/>
      <c r="K38" s="11"/>
      <c r="L38" s="11"/>
      <c r="M38" s="11"/>
      <c r="N38" s="11"/>
      <c r="O38" s="11"/>
    </row>
    <row r="39" spans="2:15" ht="13.5" customHeight="1" x14ac:dyDescent="0.25">
      <c r="B39" s="11"/>
      <c r="C39" s="11"/>
      <c r="D39" s="11"/>
      <c r="E39" s="11"/>
      <c r="F39" s="11"/>
      <c r="G39" s="11"/>
      <c r="H39" s="11"/>
      <c r="I39" s="11"/>
      <c r="J39" s="11"/>
      <c r="K39" s="11"/>
      <c r="L39" s="11"/>
      <c r="M39" s="11"/>
      <c r="N39" s="11"/>
      <c r="O39" s="11"/>
    </row>
    <row r="40" spans="2:15" ht="13.5" customHeight="1" x14ac:dyDescent="0.25">
      <c r="B40" s="11"/>
      <c r="C40" s="11"/>
      <c r="D40" s="11"/>
      <c r="E40" s="11"/>
      <c r="F40" s="11"/>
      <c r="G40" s="11"/>
      <c r="H40" s="11"/>
      <c r="I40" s="11"/>
      <c r="J40" s="11"/>
      <c r="K40" s="11"/>
      <c r="L40" s="11"/>
      <c r="M40" s="11"/>
      <c r="N40" s="11"/>
      <c r="O40" s="11"/>
    </row>
    <row r="41" spans="2:15" ht="13.5" customHeight="1" x14ac:dyDescent="0.25">
      <c r="B41" s="11"/>
      <c r="C41" s="11"/>
      <c r="D41" s="11"/>
      <c r="E41" s="11"/>
      <c r="F41" s="11"/>
      <c r="G41" s="11"/>
      <c r="H41" s="11"/>
      <c r="I41" s="11"/>
      <c r="J41" s="11"/>
      <c r="K41" s="11"/>
      <c r="L41" s="11"/>
      <c r="M41" s="11"/>
      <c r="N41" s="11"/>
      <c r="O41" s="11"/>
    </row>
    <row r="42" spans="2:15" ht="13.5" customHeight="1" x14ac:dyDescent="0.25">
      <c r="B42" s="11"/>
      <c r="C42" s="11"/>
      <c r="D42" s="11"/>
      <c r="E42" s="11"/>
      <c r="F42" s="11"/>
      <c r="G42" s="11"/>
      <c r="H42" s="11"/>
      <c r="I42" s="11"/>
      <c r="J42" s="11"/>
      <c r="K42" s="11"/>
      <c r="L42" s="11"/>
      <c r="M42" s="11"/>
      <c r="N42" s="11"/>
      <c r="O42" s="11"/>
    </row>
    <row r="43" spans="2:15" ht="13.5" customHeight="1" x14ac:dyDescent="0.25">
      <c r="B43" s="11"/>
      <c r="C43" s="11"/>
      <c r="D43" s="11"/>
      <c r="E43" s="11"/>
      <c r="F43" s="11"/>
      <c r="G43" s="11"/>
      <c r="H43" s="11"/>
      <c r="I43" s="11"/>
      <c r="J43" s="11"/>
      <c r="K43" s="11"/>
      <c r="L43" s="11"/>
      <c r="M43" s="11"/>
      <c r="N43" s="11"/>
      <c r="O43" s="11"/>
    </row>
    <row r="44" spans="2:15" ht="13.5" customHeight="1" x14ac:dyDescent="0.25">
      <c r="B44" s="11"/>
      <c r="C44" s="11"/>
      <c r="D44" s="11"/>
      <c r="E44" s="11"/>
      <c r="F44" s="11"/>
      <c r="G44" s="11"/>
      <c r="H44" s="11"/>
      <c r="I44" s="11"/>
      <c r="J44" s="11"/>
      <c r="K44" s="11"/>
      <c r="L44" s="11"/>
      <c r="M44" s="11"/>
      <c r="N44" s="11"/>
      <c r="O44" s="11"/>
    </row>
    <row r="45" spans="2:15" ht="13.5" customHeight="1" x14ac:dyDescent="0.25">
      <c r="B45" s="11"/>
      <c r="C45" s="11"/>
      <c r="D45" s="11"/>
      <c r="E45" s="11"/>
      <c r="F45" s="11"/>
      <c r="G45" s="11"/>
      <c r="H45" s="11"/>
      <c r="I45" s="11"/>
      <c r="J45" s="11"/>
      <c r="K45" s="11"/>
      <c r="L45" s="11"/>
      <c r="M45" s="11"/>
      <c r="N45" s="11"/>
      <c r="O45" s="11"/>
    </row>
    <row r="46" spans="2:15" ht="13.5" customHeight="1" x14ac:dyDescent="0.25">
      <c r="B46" s="11"/>
      <c r="C46" s="11"/>
      <c r="D46" s="11"/>
      <c r="E46" s="11"/>
      <c r="F46" s="11"/>
      <c r="G46" s="11"/>
      <c r="H46" s="11"/>
      <c r="I46" s="11"/>
      <c r="J46" s="11"/>
      <c r="K46" s="11"/>
      <c r="L46" s="11"/>
      <c r="M46" s="11"/>
      <c r="N46" s="11"/>
      <c r="O46" s="11"/>
    </row>
    <row r="47" spans="2:15" ht="13.5" customHeight="1" x14ac:dyDescent="0.25">
      <c r="B47" s="11"/>
      <c r="C47" s="11"/>
      <c r="D47" s="11"/>
      <c r="E47" s="11"/>
      <c r="F47" s="11"/>
      <c r="G47" s="11"/>
      <c r="H47" s="11"/>
      <c r="I47" s="11"/>
      <c r="J47" s="11"/>
      <c r="K47" s="11"/>
      <c r="L47" s="11"/>
      <c r="M47" s="11"/>
      <c r="N47" s="11"/>
      <c r="O47" s="11"/>
    </row>
  </sheetData>
  <mergeCells count="1">
    <mergeCell ref="B2:N25"/>
  </mergeCells>
  <phoneticPr fontId="28"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50"/>
  <sheetViews>
    <sheetView workbookViewId="0">
      <selection activeCell="P10" sqref="P10"/>
    </sheetView>
  </sheetViews>
  <sheetFormatPr defaultColWidth="9" defaultRowHeight="17" x14ac:dyDescent="0.4"/>
  <cols>
    <col min="1" max="1" width="11.453125" style="1" customWidth="1"/>
    <col min="2" max="2" width="10.26953125" style="2" customWidth="1"/>
    <col min="3" max="3" width="12.6328125" customWidth="1"/>
    <col min="4" max="4" width="21.6328125" customWidth="1"/>
    <col min="5" max="7" width="9.90625" customWidth="1"/>
    <col min="8" max="8" width="9.26953125" customWidth="1"/>
    <col min="9" max="9" width="11.453125" customWidth="1"/>
    <col min="10" max="11" width="9.26953125" customWidth="1"/>
    <col min="12" max="12" width="19.26953125" customWidth="1"/>
  </cols>
  <sheetData>
    <row r="1" spans="1:12" x14ac:dyDescent="0.4">
      <c r="A1" s="3"/>
      <c r="B1" s="4"/>
    </row>
    <row r="2" spans="1:12" ht="22.5" x14ac:dyDescent="0.55000000000000004">
      <c r="A2" s="5" t="s">
        <v>3</v>
      </c>
      <c r="B2" s="6" t="s">
        <v>74</v>
      </c>
      <c r="C2" s="7" t="s">
        <v>152</v>
      </c>
      <c r="D2" s="8" t="s">
        <v>153</v>
      </c>
      <c r="E2" s="7" t="s">
        <v>154</v>
      </c>
      <c r="F2" s="7" t="s">
        <v>155</v>
      </c>
      <c r="G2" s="7" t="s">
        <v>156</v>
      </c>
      <c r="H2" s="7" t="s">
        <v>157</v>
      </c>
      <c r="I2" s="7" t="s">
        <v>158</v>
      </c>
      <c r="J2" s="7" t="s">
        <v>159</v>
      </c>
      <c r="K2" s="7" t="s">
        <v>160</v>
      </c>
      <c r="L2" s="8" t="s">
        <v>161</v>
      </c>
    </row>
    <row r="3" spans="1:12" ht="22.5" x14ac:dyDescent="0.55000000000000004">
      <c r="A3" s="5" t="s">
        <v>23</v>
      </c>
      <c r="B3" s="6" t="s">
        <v>24</v>
      </c>
      <c r="C3" s="9">
        <v>10279.44170125</v>
      </c>
      <c r="D3" s="9">
        <v>707.764838446721</v>
      </c>
      <c r="E3" s="9">
        <v>3662.4919319999999</v>
      </c>
      <c r="F3" s="9">
        <v>2147.7750000000001</v>
      </c>
      <c r="G3" s="9">
        <v>1514.716932</v>
      </c>
      <c r="H3" s="9">
        <v>4.7195591196647603E-2</v>
      </c>
      <c r="I3" s="9">
        <v>30022</v>
      </c>
      <c r="J3" s="9">
        <v>3.6120732906057502E-2</v>
      </c>
      <c r="K3" s="9">
        <v>3.9443190393234497E-2</v>
      </c>
      <c r="L3" s="9">
        <v>907.19337904439396</v>
      </c>
    </row>
    <row r="4" spans="1:12" ht="22.5" x14ac:dyDescent="0.55000000000000004">
      <c r="A4" s="5" t="s">
        <v>15</v>
      </c>
      <c r="B4" s="6" t="s">
        <v>16</v>
      </c>
      <c r="C4" s="9">
        <v>16094.334784750001</v>
      </c>
      <c r="D4" s="9">
        <v>1108.13452616311</v>
      </c>
      <c r="E4" s="9">
        <v>4625.1703630000002</v>
      </c>
      <c r="F4" s="9">
        <v>4294.9416666666702</v>
      </c>
      <c r="G4" s="9">
        <v>330.22869633333102</v>
      </c>
      <c r="H4" s="9">
        <v>1.0289274665313999E-2</v>
      </c>
      <c r="I4" s="9">
        <v>38723</v>
      </c>
      <c r="J4" s="9">
        <v>4.6589272544176399E-2</v>
      </c>
      <c r="K4" s="9">
        <v>3.5699273180517702E-2</v>
      </c>
      <c r="L4" s="9">
        <v>821.08328315190602</v>
      </c>
    </row>
    <row r="5" spans="1:12" ht="22.5" x14ac:dyDescent="0.55000000000000004">
      <c r="A5" s="5" t="s">
        <v>38</v>
      </c>
      <c r="B5" s="6" t="s">
        <v>10</v>
      </c>
      <c r="C5" s="9">
        <v>9356.2511433333293</v>
      </c>
      <c r="D5" s="9">
        <v>644.200898393442</v>
      </c>
      <c r="E5" s="9">
        <v>3408.9287810000001</v>
      </c>
      <c r="F5" s="9">
        <v>2498.9416666666698</v>
      </c>
      <c r="G5" s="9">
        <v>909.98711433333597</v>
      </c>
      <c r="H5" s="9">
        <v>2.8353403157371601E-2</v>
      </c>
      <c r="I5" s="9">
        <v>32157</v>
      </c>
      <c r="J5" s="9">
        <v>3.8689441345016597E-2</v>
      </c>
      <c r="K5" s="9">
        <v>3.5588629888723099E-2</v>
      </c>
      <c r="L5" s="9">
        <v>818.53848744063203</v>
      </c>
    </row>
    <row r="6" spans="1:12" ht="22.5" x14ac:dyDescent="0.55000000000000004">
      <c r="A6" s="5" t="s">
        <v>45</v>
      </c>
      <c r="B6" s="6" t="s">
        <v>56</v>
      </c>
      <c r="C6" s="9">
        <v>8436.9146702500002</v>
      </c>
      <c r="D6" s="9">
        <v>580.90232155819695</v>
      </c>
      <c r="E6" s="9">
        <v>3209.0706319999999</v>
      </c>
      <c r="F6" s="9">
        <v>1927.1083333333299</v>
      </c>
      <c r="G6" s="9">
        <v>1281.96229866667</v>
      </c>
      <c r="H6" s="9">
        <v>3.9943416026583703E-2</v>
      </c>
      <c r="I6" s="9">
        <v>25510</v>
      </c>
      <c r="J6" s="9">
        <v>3.0692155633652799E-2</v>
      </c>
      <c r="K6" s="9">
        <v>3.3467533751532101E-2</v>
      </c>
      <c r="L6" s="9">
        <v>769.75327628523803</v>
      </c>
    </row>
    <row r="7" spans="1:12" ht="22.5" x14ac:dyDescent="0.55000000000000004">
      <c r="A7" s="5" t="s">
        <v>53</v>
      </c>
      <c r="B7" s="6" t="s">
        <v>68</v>
      </c>
      <c r="C7" s="9">
        <v>9183.2461292499993</v>
      </c>
      <c r="D7" s="9">
        <v>632.28907775163896</v>
      </c>
      <c r="E7" s="9">
        <v>3404.17625</v>
      </c>
      <c r="F7" s="9">
        <v>2886.3333333333298</v>
      </c>
      <c r="G7" s="9">
        <v>517.84291666666695</v>
      </c>
      <c r="H7" s="9">
        <v>1.61349636243979E-2</v>
      </c>
      <c r="I7" s="9">
        <v>29369</v>
      </c>
      <c r="J7" s="9">
        <v>3.5335081097794999E-2</v>
      </c>
      <c r="K7" s="9">
        <v>2.9575045855775899E-2</v>
      </c>
      <c r="L7" s="9">
        <v>680.22605468284496</v>
      </c>
    </row>
    <row r="8" spans="1:12" ht="22.5" x14ac:dyDescent="0.55000000000000004">
      <c r="A8" s="5" t="s">
        <v>7</v>
      </c>
      <c r="B8" s="6" t="s">
        <v>81</v>
      </c>
      <c r="C8" s="9">
        <v>6338.7016665000001</v>
      </c>
      <c r="D8" s="9">
        <v>436.43519670983602</v>
      </c>
      <c r="E8" s="9">
        <v>3245.5282619999998</v>
      </c>
      <c r="F8" s="9">
        <v>1274.7249999999999</v>
      </c>
      <c r="G8" s="9">
        <v>1970.8032619999999</v>
      </c>
      <c r="H8" s="9">
        <v>6.1406341420874297E-2</v>
      </c>
      <c r="I8" s="9">
        <v>11996</v>
      </c>
      <c r="J8" s="9">
        <v>1.44328929432105E-2</v>
      </c>
      <c r="K8" s="9">
        <v>2.8524927486509599E-2</v>
      </c>
      <c r="L8" s="9">
        <v>656.07333218972201</v>
      </c>
    </row>
    <row r="9" spans="1:12" ht="22.5" x14ac:dyDescent="0.55000000000000004">
      <c r="A9" s="5" t="s">
        <v>31</v>
      </c>
      <c r="B9" s="6" t="s">
        <v>36</v>
      </c>
      <c r="C9" s="9">
        <v>7432.7025042499999</v>
      </c>
      <c r="D9" s="9">
        <v>511.759844554918</v>
      </c>
      <c r="E9" s="9">
        <v>3977.6003000000001</v>
      </c>
      <c r="F9" s="9">
        <v>2610.9833333333299</v>
      </c>
      <c r="G9" s="9">
        <v>1366.6169666666699</v>
      </c>
      <c r="H9" s="9">
        <v>4.2581088465182902E-2</v>
      </c>
      <c r="I9" s="9">
        <v>18288</v>
      </c>
      <c r="J9" s="9">
        <v>2.20030631998527E-2</v>
      </c>
      <c r="K9" s="9">
        <v>2.81764707794518E-2</v>
      </c>
      <c r="L9" s="9">
        <v>648.05882792739101</v>
      </c>
    </row>
    <row r="10" spans="1:12" ht="22.5" x14ac:dyDescent="0.55000000000000004">
      <c r="A10" s="5" t="s">
        <v>38</v>
      </c>
      <c r="B10" s="6" t="s">
        <v>43</v>
      </c>
      <c r="C10" s="9">
        <v>12067.717280499999</v>
      </c>
      <c r="D10" s="9">
        <v>830.89200947704899</v>
      </c>
      <c r="E10" s="9">
        <v>3991.377602</v>
      </c>
      <c r="F10" s="9">
        <v>2648.45</v>
      </c>
      <c r="G10" s="9">
        <v>1342.927602</v>
      </c>
      <c r="H10" s="9">
        <v>4.1842974599221101E-2</v>
      </c>
      <c r="I10" s="9">
        <v>16090</v>
      </c>
      <c r="J10" s="9">
        <v>1.9358556806957E-2</v>
      </c>
      <c r="K10" s="9">
        <v>2.6103882144636301E-2</v>
      </c>
      <c r="L10" s="9">
        <v>600.38928932663396</v>
      </c>
    </row>
    <row r="11" spans="1:12" ht="22.5" x14ac:dyDescent="0.55000000000000004">
      <c r="A11" s="5" t="s">
        <v>45</v>
      </c>
      <c r="B11" s="6" t="s">
        <v>28</v>
      </c>
      <c r="C11" s="9">
        <v>7598.39800941666</v>
      </c>
      <c r="D11" s="9">
        <v>523.16838753360605</v>
      </c>
      <c r="E11" s="9">
        <v>3175.9081510000001</v>
      </c>
      <c r="F11" s="9">
        <v>1801.5916666666701</v>
      </c>
      <c r="G11" s="9">
        <v>1374.31648433333</v>
      </c>
      <c r="H11" s="9">
        <v>4.2820990245199003E-2</v>
      </c>
      <c r="I11" s="9">
        <v>15612</v>
      </c>
      <c r="J11" s="9">
        <v>1.8783454870740401E-2</v>
      </c>
      <c r="K11" s="9">
        <v>2.5994715483077999E-2</v>
      </c>
      <c r="L11" s="9">
        <v>597.87845611079399</v>
      </c>
    </row>
    <row r="12" spans="1:12" ht="22.5" x14ac:dyDescent="0.55000000000000004">
      <c r="A12" s="5" t="s">
        <v>53</v>
      </c>
      <c r="B12" s="6" t="s">
        <v>12</v>
      </c>
      <c r="C12" s="9">
        <v>10333.23649675</v>
      </c>
      <c r="D12" s="9">
        <v>711.46874239917997</v>
      </c>
      <c r="E12" s="9">
        <v>3499.0497359999999</v>
      </c>
      <c r="F12" s="9">
        <v>2247.6916666666698</v>
      </c>
      <c r="G12" s="9">
        <v>1251.3580693333299</v>
      </c>
      <c r="H12" s="9">
        <v>3.8989848620033803E-2</v>
      </c>
      <c r="I12" s="9">
        <v>16751</v>
      </c>
      <c r="J12" s="9">
        <v>2.0153833752227301E-2</v>
      </c>
      <c r="K12" s="9">
        <v>2.58046382125693E-2</v>
      </c>
      <c r="L12" s="9">
        <v>593.506678889093</v>
      </c>
    </row>
    <row r="13" spans="1:12" ht="22.5" x14ac:dyDescent="0.55000000000000004">
      <c r="A13" s="5" t="s">
        <v>7</v>
      </c>
      <c r="B13" s="6" t="s">
        <v>11</v>
      </c>
      <c r="C13" s="9">
        <v>8779.7661184999997</v>
      </c>
      <c r="D13" s="9">
        <v>604.50848684754101</v>
      </c>
      <c r="E13" s="9">
        <v>2729.0101100000002</v>
      </c>
      <c r="F13" s="9">
        <v>1786.55833333333</v>
      </c>
      <c r="G13" s="9">
        <v>942.451776666667</v>
      </c>
      <c r="H13" s="9">
        <v>2.9364937985729301E-2</v>
      </c>
      <c r="I13" s="9">
        <v>19967</v>
      </c>
      <c r="J13" s="9">
        <v>2.40231388293668E-2</v>
      </c>
      <c r="K13" s="9">
        <v>2.5625678576275498E-2</v>
      </c>
      <c r="L13" s="9">
        <v>589.39060725433706</v>
      </c>
    </row>
    <row r="14" spans="1:12" ht="22.5" x14ac:dyDescent="0.55000000000000004">
      <c r="A14" s="5" t="s">
        <v>23</v>
      </c>
      <c r="B14" s="6" t="s">
        <v>26</v>
      </c>
      <c r="C14" s="9">
        <v>9609.1373387500007</v>
      </c>
      <c r="D14" s="9">
        <v>661.61273479917998</v>
      </c>
      <c r="E14" s="9">
        <v>3042.3002299999998</v>
      </c>
      <c r="F14" s="9">
        <v>2211.3583333333299</v>
      </c>
      <c r="G14" s="9">
        <v>830.94189666666796</v>
      </c>
      <c r="H14" s="9">
        <v>2.5890510124202501E-2</v>
      </c>
      <c r="I14" s="9">
        <v>20951</v>
      </c>
      <c r="J14" s="9">
        <v>2.5207030681327399E-2</v>
      </c>
      <c r="K14" s="9">
        <v>2.5412074514189899E-2</v>
      </c>
      <c r="L14" s="9">
        <v>584.47771382636802</v>
      </c>
    </row>
    <row r="15" spans="1:12" ht="22.5" x14ac:dyDescent="0.55000000000000004">
      <c r="A15" s="5" t="s">
        <v>31</v>
      </c>
      <c r="B15" s="6" t="s">
        <v>33</v>
      </c>
      <c r="C15" s="9">
        <v>8235.7968269166595</v>
      </c>
      <c r="D15" s="9">
        <v>567.05486349262196</v>
      </c>
      <c r="E15" s="9">
        <v>2779.5238429999999</v>
      </c>
      <c r="F15" s="9">
        <v>1746.7833333333299</v>
      </c>
      <c r="G15" s="9">
        <v>1032.7405096666701</v>
      </c>
      <c r="H15" s="9">
        <v>3.21781567742093E-2</v>
      </c>
      <c r="I15" s="9">
        <v>17867</v>
      </c>
      <c r="J15" s="9">
        <v>2.14965403648168E-2</v>
      </c>
      <c r="K15" s="9">
        <v>2.4701025287634501E-2</v>
      </c>
      <c r="L15" s="9">
        <v>568.12358161559405</v>
      </c>
    </row>
    <row r="16" spans="1:12" ht="22.5" x14ac:dyDescent="0.55000000000000004">
      <c r="A16" s="5" t="s">
        <v>53</v>
      </c>
      <c r="B16" s="6" t="s">
        <v>34</v>
      </c>
      <c r="C16" s="9">
        <v>8224.5608047500009</v>
      </c>
      <c r="D16" s="9">
        <v>566.28123573688504</v>
      </c>
      <c r="E16" s="9">
        <v>1922.7448870000001</v>
      </c>
      <c r="F16" s="9">
        <v>2219.4499999999998</v>
      </c>
      <c r="G16" s="9">
        <v>-296.70511299999998</v>
      </c>
      <c r="H16" s="9">
        <v>5.0000000000000001E-3</v>
      </c>
      <c r="I16" s="9">
        <v>32199</v>
      </c>
      <c r="J16" s="9">
        <v>3.8739973314307598E-2</v>
      </c>
      <c r="K16" s="9">
        <v>2.86179813200154E-2</v>
      </c>
      <c r="L16" s="9">
        <v>658.21357036035295</v>
      </c>
    </row>
    <row r="17" spans="1:12" ht="22.5" x14ac:dyDescent="0.55000000000000004">
      <c r="A17" s="5" t="s">
        <v>15</v>
      </c>
      <c r="B17" s="6" t="s">
        <v>18</v>
      </c>
      <c r="C17" s="9">
        <v>10064.064956583299</v>
      </c>
      <c r="D17" s="9">
        <v>692.93561996147298</v>
      </c>
      <c r="E17" s="9">
        <v>3450.3776509999998</v>
      </c>
      <c r="F17" s="9">
        <v>2261.1833333333302</v>
      </c>
      <c r="G17" s="9">
        <v>1189.19431766667</v>
      </c>
      <c r="H17" s="9">
        <v>3.7052948761763897E-2</v>
      </c>
      <c r="I17" s="9">
        <v>15224</v>
      </c>
      <c r="J17" s="9">
        <v>1.8316635725861698E-2</v>
      </c>
      <c r="K17" s="9">
        <v>2.3937529636632301E-2</v>
      </c>
      <c r="L17" s="9">
        <v>550.56318164254299</v>
      </c>
    </row>
    <row r="18" spans="1:12" ht="22.5" x14ac:dyDescent="0.55000000000000004">
      <c r="A18" s="5" t="s">
        <v>23</v>
      </c>
      <c r="B18" s="6" t="s">
        <v>21</v>
      </c>
      <c r="C18" s="9">
        <v>7412.7718722500003</v>
      </c>
      <c r="D18" s="9">
        <v>510.38757153196701</v>
      </c>
      <c r="E18" s="9">
        <v>3134.0518000000002</v>
      </c>
      <c r="F18" s="9">
        <v>1955.11666666667</v>
      </c>
      <c r="G18" s="9">
        <v>1178.93513333333</v>
      </c>
      <c r="H18" s="9">
        <v>3.6733292818413601E-2</v>
      </c>
      <c r="I18" s="9">
        <v>15273</v>
      </c>
      <c r="J18" s="9">
        <v>1.8375589690034499E-2</v>
      </c>
      <c r="K18" s="9">
        <v>2.3882900628548202E-2</v>
      </c>
      <c r="L18" s="9">
        <v>549.30671445660903</v>
      </c>
    </row>
    <row r="19" spans="1:12" ht="22.5" x14ac:dyDescent="0.55000000000000004">
      <c r="A19" s="5" t="s">
        <v>7</v>
      </c>
      <c r="B19" s="6" t="s">
        <v>40</v>
      </c>
      <c r="C19" s="9">
        <v>6823.6854682499998</v>
      </c>
      <c r="D19" s="9">
        <v>469.82752404344302</v>
      </c>
      <c r="E19" s="9">
        <v>2689.2073350000001</v>
      </c>
      <c r="F19" s="9">
        <v>1780.56666666667</v>
      </c>
      <c r="G19" s="9">
        <v>908.640668333333</v>
      </c>
      <c r="H19" s="9">
        <v>2.83114505564321E-2</v>
      </c>
      <c r="I19" s="9">
        <v>17213</v>
      </c>
      <c r="J19" s="9">
        <v>2.0709685414428299E-2</v>
      </c>
      <c r="K19" s="9">
        <v>2.2990214957029499E-2</v>
      </c>
      <c r="L19" s="9">
        <v>528.77494401167701</v>
      </c>
    </row>
    <row r="20" spans="1:12" ht="22.5" x14ac:dyDescent="0.55000000000000004">
      <c r="A20" s="5" t="s">
        <v>45</v>
      </c>
      <c r="B20" s="6" t="s">
        <v>66</v>
      </c>
      <c r="C20" s="9">
        <v>8439.8880580000005</v>
      </c>
      <c r="D20" s="9">
        <v>581.10704661639397</v>
      </c>
      <c r="E20" s="9">
        <v>3127.8160339999999</v>
      </c>
      <c r="F20" s="9">
        <v>1758.3</v>
      </c>
      <c r="G20" s="9">
        <v>1369.516034</v>
      </c>
      <c r="H20" s="9">
        <v>4.2671417683682399E-2</v>
      </c>
      <c r="I20" s="9">
        <v>11980</v>
      </c>
      <c r="J20" s="9">
        <v>1.44136426691949E-2</v>
      </c>
      <c r="K20" s="9">
        <v>2.2890975173541099E-2</v>
      </c>
      <c r="L20" s="9">
        <v>526.49242899144599</v>
      </c>
    </row>
    <row r="21" spans="1:12" ht="22.5" x14ac:dyDescent="0.55000000000000004">
      <c r="A21" s="5" t="s">
        <v>53</v>
      </c>
      <c r="B21" s="6" t="s">
        <v>69</v>
      </c>
      <c r="C21" s="9">
        <v>8742.4294269999991</v>
      </c>
      <c r="D21" s="9">
        <v>601.937763826229</v>
      </c>
      <c r="E21" s="9">
        <v>3748.355955</v>
      </c>
      <c r="F21" s="9">
        <v>2615.3916666666701</v>
      </c>
      <c r="G21" s="9">
        <v>1132.9642883333299</v>
      </c>
      <c r="H21" s="9">
        <v>3.5300931984683599E-2</v>
      </c>
      <c r="I21" s="9">
        <v>14556</v>
      </c>
      <c r="J21" s="9">
        <v>1.7512936785709601E-2</v>
      </c>
      <c r="K21" s="9">
        <v>2.2849335345401799E-2</v>
      </c>
      <c r="L21" s="9">
        <v>525.53471294424105</v>
      </c>
    </row>
    <row r="22" spans="1:12" ht="22.5" x14ac:dyDescent="0.55000000000000004">
      <c r="A22" s="5" t="s">
        <v>38</v>
      </c>
      <c r="B22" s="6" t="s">
        <v>51</v>
      </c>
      <c r="C22" s="9">
        <v>10780.720745083299</v>
      </c>
      <c r="D22" s="9">
        <v>742.27913326803002</v>
      </c>
      <c r="E22" s="9">
        <v>3370.681646</v>
      </c>
      <c r="F22" s="9">
        <v>2474.5166666666701</v>
      </c>
      <c r="G22" s="9">
        <v>896.16497933333403</v>
      </c>
      <c r="H22" s="9">
        <v>2.7922732700639101E-2</v>
      </c>
      <c r="I22" s="9">
        <v>16369</v>
      </c>
      <c r="J22" s="9">
        <v>1.9694233460104401E-2</v>
      </c>
      <c r="K22" s="9">
        <v>2.21627832322648E-2</v>
      </c>
      <c r="L22" s="9">
        <v>509.74401434209</v>
      </c>
    </row>
    <row r="23" spans="1:12" ht="22.5" x14ac:dyDescent="0.55000000000000004">
      <c r="A23" s="5" t="s">
        <v>23</v>
      </c>
      <c r="B23" s="6" t="s">
        <v>65</v>
      </c>
      <c r="C23" s="9">
        <v>9140.3855273333302</v>
      </c>
      <c r="D23" s="9">
        <v>629.338019914754</v>
      </c>
      <c r="E23" s="9">
        <v>2449.0956070000002</v>
      </c>
      <c r="F23" s="9">
        <v>1786.425</v>
      </c>
      <c r="G23" s="9">
        <v>662.67060699999899</v>
      </c>
      <c r="H23" s="9">
        <v>2.0647508722775799E-2</v>
      </c>
      <c r="I23" s="9">
        <v>17758</v>
      </c>
      <c r="J23" s="9">
        <v>2.13653978730853E-2</v>
      </c>
      <c r="K23" s="9">
        <v>2.1150031127992502E-2</v>
      </c>
      <c r="L23" s="9">
        <v>486.45071594382699</v>
      </c>
    </row>
    <row r="24" spans="1:12" ht="22.5" x14ac:dyDescent="0.55000000000000004">
      <c r="A24" s="5" t="s">
        <v>45</v>
      </c>
      <c r="B24" s="6" t="s">
        <v>49</v>
      </c>
      <c r="C24" s="9">
        <v>5469.5242105833304</v>
      </c>
      <c r="D24" s="9">
        <v>376.59019154836</v>
      </c>
      <c r="E24" s="9">
        <v>3397.3973310000001</v>
      </c>
      <c r="F24" s="9">
        <v>2593.0666666666698</v>
      </c>
      <c r="G24" s="9">
        <v>804.33066433333397</v>
      </c>
      <c r="H24" s="9">
        <v>2.50613566263376E-2</v>
      </c>
      <c r="I24" s="9">
        <v>16136</v>
      </c>
      <c r="J24" s="9">
        <v>1.9413901344751999E-2</v>
      </c>
      <c r="K24" s="9">
        <v>2.11081379292276E-2</v>
      </c>
      <c r="L24" s="9">
        <v>485.48717237223599</v>
      </c>
    </row>
    <row r="25" spans="1:12" ht="22.5" x14ac:dyDescent="0.55000000000000004">
      <c r="A25" s="5" t="s">
        <v>53</v>
      </c>
      <c r="B25" s="6" t="s">
        <v>42</v>
      </c>
      <c r="C25" s="9">
        <v>6936.4594733333297</v>
      </c>
      <c r="D25" s="9">
        <v>477.59229160655701</v>
      </c>
      <c r="E25" s="9">
        <v>2544.7606460000002</v>
      </c>
      <c r="F25" s="9">
        <v>1688.2333333333299</v>
      </c>
      <c r="G25" s="9">
        <v>856.52731266666694</v>
      </c>
      <c r="H25" s="9">
        <v>2.6687701208966901E-2</v>
      </c>
      <c r="I25" s="9">
        <v>15418</v>
      </c>
      <c r="J25" s="9">
        <v>1.8550045298301E-2</v>
      </c>
      <c r="K25" s="9">
        <v>2.0991342071500801E-2</v>
      </c>
      <c r="L25" s="9">
        <v>482.80086764451897</v>
      </c>
    </row>
    <row r="26" spans="1:12" ht="22.5" x14ac:dyDescent="0.55000000000000004">
      <c r="A26" s="5" t="s">
        <v>31</v>
      </c>
      <c r="B26" s="6" t="s">
        <v>47</v>
      </c>
      <c r="C26" s="9">
        <v>8308.2839714999991</v>
      </c>
      <c r="D26" s="9">
        <v>572.04578164426198</v>
      </c>
      <c r="E26" s="9">
        <v>2940.4013709999999</v>
      </c>
      <c r="F26" s="9">
        <v>2225.6083333333299</v>
      </c>
      <c r="G26" s="9">
        <v>714.79303766666897</v>
      </c>
      <c r="H26" s="9">
        <v>2.2271540829336901E-2</v>
      </c>
      <c r="I26" s="9">
        <v>16547</v>
      </c>
      <c r="J26" s="9">
        <v>1.9908392758528199E-2</v>
      </c>
      <c r="K26" s="9">
        <v>2.0617337179770798E-2</v>
      </c>
      <c r="L26" s="9">
        <v>474.198755134728</v>
      </c>
    </row>
    <row r="27" spans="1:12" ht="22.5" x14ac:dyDescent="0.55000000000000004">
      <c r="A27" s="5" t="s">
        <v>38</v>
      </c>
      <c r="B27" s="6" t="s">
        <v>54</v>
      </c>
      <c r="C27" s="9">
        <v>7722.0968260833297</v>
      </c>
      <c r="D27" s="9">
        <v>531.68535523852404</v>
      </c>
      <c r="E27" s="9">
        <v>2654.9784559999998</v>
      </c>
      <c r="F27" s="9">
        <v>1833.7333333333299</v>
      </c>
      <c r="G27" s="9">
        <v>821.24512266666704</v>
      </c>
      <c r="H27" s="9">
        <v>2.55883777772523E-2</v>
      </c>
      <c r="I27" s="9">
        <v>15160</v>
      </c>
      <c r="J27" s="9">
        <v>1.82396346297992E-2</v>
      </c>
      <c r="K27" s="9">
        <v>2.0444257574035101E-2</v>
      </c>
      <c r="L27" s="9">
        <v>470.21792420280798</v>
      </c>
    </row>
    <row r="28" spans="1:12" ht="22.5" x14ac:dyDescent="0.55000000000000004">
      <c r="A28" s="5" t="s">
        <v>53</v>
      </c>
      <c r="B28" s="6" t="s">
        <v>59</v>
      </c>
      <c r="C28" s="9">
        <v>7668.4421036666599</v>
      </c>
      <c r="D28" s="9">
        <v>527.99109566229504</v>
      </c>
      <c r="E28" s="9">
        <v>2417.2841469999998</v>
      </c>
      <c r="F28" s="9">
        <v>1749.6583333333299</v>
      </c>
      <c r="G28" s="9">
        <v>667.625813666667</v>
      </c>
      <c r="H28" s="9">
        <v>2.0801903186318301E-2</v>
      </c>
      <c r="I28" s="9">
        <v>16861</v>
      </c>
      <c r="J28" s="9">
        <v>2.02861793860847E-2</v>
      </c>
      <c r="K28" s="9">
        <v>2.04408965261548E-2</v>
      </c>
      <c r="L28" s="9">
        <v>470.14062010155999</v>
      </c>
    </row>
    <row r="29" spans="1:12" ht="22.5" x14ac:dyDescent="0.55000000000000004">
      <c r="A29" s="5" t="s">
        <v>7</v>
      </c>
      <c r="B29" s="6" t="s">
        <v>58</v>
      </c>
      <c r="C29" s="9">
        <v>10208.504532000001</v>
      </c>
      <c r="D29" s="9">
        <v>702.88063990819705</v>
      </c>
      <c r="E29" s="9">
        <v>2166.8803440000002</v>
      </c>
      <c r="F29" s="9">
        <v>2458.8333333333298</v>
      </c>
      <c r="G29" s="9">
        <v>-291.95298933333203</v>
      </c>
      <c r="H29" s="9">
        <v>5.0000000000000001E-3</v>
      </c>
      <c r="I29" s="9">
        <v>26045</v>
      </c>
      <c r="J29" s="9">
        <v>3.1335836671050103E-2</v>
      </c>
      <c r="K29" s="9">
        <v>2.3435085669735099E-2</v>
      </c>
      <c r="L29" s="9">
        <v>539.00697040390696</v>
      </c>
    </row>
    <row r="30" spans="1:12" ht="22.5" x14ac:dyDescent="0.55000000000000004">
      <c r="A30" s="5" t="s">
        <v>23</v>
      </c>
      <c r="B30" s="6" t="s">
        <v>17</v>
      </c>
      <c r="C30" s="9">
        <v>8418.1514409166593</v>
      </c>
      <c r="D30" s="9">
        <v>579.61042707950799</v>
      </c>
      <c r="E30" s="9">
        <v>2379.731225</v>
      </c>
      <c r="F30" s="9">
        <v>1803.9</v>
      </c>
      <c r="G30" s="9">
        <v>575.83122500000002</v>
      </c>
      <c r="H30" s="9">
        <v>1.7941764906186899E-2</v>
      </c>
      <c r="I30" s="9">
        <v>16379</v>
      </c>
      <c r="J30" s="9">
        <v>1.9706264881364201E-2</v>
      </c>
      <c r="K30" s="9">
        <v>1.9176914888811E-2</v>
      </c>
      <c r="L30" s="9">
        <v>441.06904244265297</v>
      </c>
    </row>
    <row r="31" spans="1:12" ht="22.5" x14ac:dyDescent="0.55000000000000004">
      <c r="A31" s="5" t="s">
        <v>15</v>
      </c>
      <c r="B31" s="6" t="s">
        <v>62</v>
      </c>
      <c r="C31" s="9">
        <v>5385.5497269999996</v>
      </c>
      <c r="D31" s="9">
        <v>370.80834185901602</v>
      </c>
      <c r="E31" s="9">
        <v>2536.8260740000001</v>
      </c>
      <c r="F31" s="9">
        <v>1552.69166666667</v>
      </c>
      <c r="G31" s="9">
        <v>984.13440733333402</v>
      </c>
      <c r="H31" s="9">
        <v>3.0663686521105699E-2</v>
      </c>
      <c r="I31" s="9">
        <v>11724</v>
      </c>
      <c r="J31" s="9">
        <v>1.4105638284945E-2</v>
      </c>
      <c r="K31" s="9">
        <v>1.9073052755793199E-2</v>
      </c>
      <c r="L31" s="9">
        <v>438.68021338324297</v>
      </c>
    </row>
    <row r="32" spans="1:12" ht="22.5" x14ac:dyDescent="0.55000000000000004">
      <c r="A32" s="5" t="s">
        <v>7</v>
      </c>
      <c r="B32" s="6" t="s">
        <v>8</v>
      </c>
      <c r="C32" s="9">
        <v>6880.3931958333296</v>
      </c>
      <c r="D32" s="9">
        <v>473.73199053278699</v>
      </c>
      <c r="E32" s="9">
        <v>2267.9443759999999</v>
      </c>
      <c r="F32" s="9">
        <v>1948.49166666667</v>
      </c>
      <c r="G32" s="9">
        <v>319.45270933333398</v>
      </c>
      <c r="H32" s="9">
        <v>9.9535161704771297E-3</v>
      </c>
      <c r="I32" s="9">
        <v>18876</v>
      </c>
      <c r="J32" s="9">
        <v>2.2710510769926699E-2</v>
      </c>
      <c r="K32" s="9">
        <v>1.8883412390091898E-2</v>
      </c>
      <c r="L32" s="9">
        <v>434.31848497211303</v>
      </c>
    </row>
    <row r="33" spans="1:12" ht="22.5" x14ac:dyDescent="0.55000000000000004">
      <c r="A33" s="5" t="s">
        <v>53</v>
      </c>
      <c r="B33" s="6" t="s">
        <v>19</v>
      </c>
      <c r="C33" s="9">
        <v>6920.2006450833296</v>
      </c>
      <c r="D33" s="9">
        <v>476.472831300819</v>
      </c>
      <c r="E33" s="9">
        <v>2341.4164559999999</v>
      </c>
      <c r="F33" s="9">
        <v>1688.1</v>
      </c>
      <c r="G33" s="9">
        <v>653.31645600000002</v>
      </c>
      <c r="H33" s="9">
        <v>2.0356051832540401E-2</v>
      </c>
      <c r="I33" s="9">
        <v>14812</v>
      </c>
      <c r="J33" s="9">
        <v>1.7820941169959501E-2</v>
      </c>
      <c r="K33" s="9">
        <v>1.85814743687337E-2</v>
      </c>
      <c r="L33" s="9">
        <v>427.37391048087602</v>
      </c>
    </row>
    <row r="34" spans="1:12" ht="22.5" x14ac:dyDescent="0.55000000000000004">
      <c r="A34" s="5" t="s">
        <v>45</v>
      </c>
      <c r="B34" s="6" t="s">
        <v>79</v>
      </c>
      <c r="C34" s="9">
        <v>7115.33780916666</v>
      </c>
      <c r="D34" s="9">
        <v>489.908504893442</v>
      </c>
      <c r="E34" s="9">
        <v>2202.4665850000001</v>
      </c>
      <c r="F34" s="9">
        <v>1520.15</v>
      </c>
      <c r="G34" s="9">
        <v>682.31658500000003</v>
      </c>
      <c r="H34" s="9">
        <v>2.1259638637453698E-2</v>
      </c>
      <c r="I34" s="9">
        <v>14210</v>
      </c>
      <c r="J34" s="9">
        <v>1.7096649610121799E-2</v>
      </c>
      <c r="K34" s="9">
        <v>1.8345546318321401E-2</v>
      </c>
      <c r="L34" s="9">
        <v>421.94756532139201</v>
      </c>
    </row>
    <row r="35" spans="1:12" ht="22.5" x14ac:dyDescent="0.55000000000000004">
      <c r="A35" s="5" t="s">
        <v>15</v>
      </c>
      <c r="B35" s="6" t="s">
        <v>48</v>
      </c>
      <c r="C35" s="9">
        <v>9665.2007140833302</v>
      </c>
      <c r="D35" s="9">
        <v>665.47283605163898</v>
      </c>
      <c r="E35" s="9">
        <v>2620.6578119999999</v>
      </c>
      <c r="F35" s="9">
        <v>2096.13333333333</v>
      </c>
      <c r="G35" s="9">
        <v>524.52447866666603</v>
      </c>
      <c r="H35" s="9">
        <v>1.6343147914178499E-2</v>
      </c>
      <c r="I35" s="9">
        <v>15549</v>
      </c>
      <c r="J35" s="9">
        <v>1.87076569168039E-2</v>
      </c>
      <c r="K35" s="9">
        <v>1.7998304216016298E-2</v>
      </c>
      <c r="L35" s="9">
        <v>413.96099696837501</v>
      </c>
    </row>
    <row r="36" spans="1:12" ht="22.5" x14ac:dyDescent="0.55000000000000004">
      <c r="A36" s="5" t="s">
        <v>31</v>
      </c>
      <c r="B36" s="6" t="s">
        <v>41</v>
      </c>
      <c r="C36" s="9">
        <v>8667.4744230833294</v>
      </c>
      <c r="D36" s="9">
        <v>596.77692749098298</v>
      </c>
      <c r="E36" s="9">
        <v>2238.7653749999999</v>
      </c>
      <c r="F36" s="9">
        <v>1577.875</v>
      </c>
      <c r="G36" s="9">
        <v>660.89037499999995</v>
      </c>
      <c r="H36" s="9">
        <v>2.0592040205898401E-2</v>
      </c>
      <c r="I36" s="9">
        <v>13868</v>
      </c>
      <c r="J36" s="9">
        <v>1.66851750030379E-2</v>
      </c>
      <c r="K36" s="9">
        <v>1.78572345638961E-2</v>
      </c>
      <c r="L36" s="9">
        <v>410.71639496961001</v>
      </c>
    </row>
    <row r="37" spans="1:12" ht="22.5" x14ac:dyDescent="0.55000000000000004">
      <c r="A37" s="5" t="s">
        <v>45</v>
      </c>
      <c r="B37" s="6" t="s">
        <v>46</v>
      </c>
      <c r="C37" s="9">
        <v>8314.2727335833297</v>
      </c>
      <c r="D37" s="9">
        <v>572.45812264016399</v>
      </c>
      <c r="E37" s="9">
        <v>2943.5041460000002</v>
      </c>
      <c r="F37" s="9">
        <v>2286.8000000000002</v>
      </c>
      <c r="G37" s="9">
        <v>656.70414600000095</v>
      </c>
      <c r="H37" s="9">
        <v>2.0461605569323301E-2</v>
      </c>
      <c r="I37" s="9">
        <v>13459</v>
      </c>
      <c r="J37" s="9">
        <v>1.61930898735137E-2</v>
      </c>
      <c r="K37" s="9">
        <v>1.7473644582256601E-2</v>
      </c>
      <c r="L37" s="9">
        <v>401.89382539190098</v>
      </c>
    </row>
    <row r="38" spans="1:12" ht="22.5" x14ac:dyDescent="0.55000000000000004">
      <c r="A38" s="5" t="s">
        <v>45</v>
      </c>
      <c r="B38" s="6" t="s">
        <v>22</v>
      </c>
      <c r="C38" s="9">
        <v>5567.3078142499999</v>
      </c>
      <c r="D38" s="9">
        <v>383.32283311229497</v>
      </c>
      <c r="E38" s="9">
        <v>1644.1408469999999</v>
      </c>
      <c r="F38" s="9">
        <v>1286.8333333333301</v>
      </c>
      <c r="G38" s="9">
        <v>357.30751366666698</v>
      </c>
      <c r="H38" s="9">
        <v>1.1132997189274499E-2</v>
      </c>
      <c r="I38" s="9">
        <v>16733</v>
      </c>
      <c r="J38" s="9">
        <v>2.01321771939597E-2</v>
      </c>
      <c r="K38" s="9">
        <v>1.7432423192554201E-2</v>
      </c>
      <c r="L38" s="9">
        <v>400.945733428746</v>
      </c>
    </row>
    <row r="39" spans="1:12" ht="22.5" x14ac:dyDescent="0.55000000000000004">
      <c r="A39" s="5" t="s">
        <v>23</v>
      </c>
      <c r="B39" s="6" t="s">
        <v>57</v>
      </c>
      <c r="C39" s="9">
        <v>6851.0380561666598</v>
      </c>
      <c r="D39" s="9">
        <v>471.71081698196701</v>
      </c>
      <c r="E39" s="9">
        <v>2257.4511779999998</v>
      </c>
      <c r="F39" s="9">
        <v>1765.69166666667</v>
      </c>
      <c r="G39" s="9">
        <v>491.75951133333302</v>
      </c>
      <c r="H39" s="9">
        <v>1.53222561744963E-2</v>
      </c>
      <c r="I39" s="9">
        <v>14823</v>
      </c>
      <c r="J39" s="9">
        <v>1.7834175733345201E-2</v>
      </c>
      <c r="K39" s="9">
        <v>1.70805998656905E-2</v>
      </c>
      <c r="L39" s="9">
        <v>392.85379691088201</v>
      </c>
    </row>
    <row r="40" spans="1:12" ht="22.5" x14ac:dyDescent="0.55000000000000004">
      <c r="A40" s="5" t="s">
        <v>38</v>
      </c>
      <c r="B40" s="6" t="s">
        <v>39</v>
      </c>
      <c r="C40" s="9">
        <v>6961.24395966666</v>
      </c>
      <c r="D40" s="9">
        <v>479.29876443606503</v>
      </c>
      <c r="E40" s="9">
        <v>1982.519691</v>
      </c>
      <c r="F40" s="9">
        <v>1612.2249999999999</v>
      </c>
      <c r="G40" s="9">
        <v>370.29469099999898</v>
      </c>
      <c r="H40" s="9">
        <v>1.15376520124124E-2</v>
      </c>
      <c r="I40" s="9">
        <v>15609</v>
      </c>
      <c r="J40" s="9">
        <v>1.8779845444362502E-2</v>
      </c>
      <c r="K40" s="9">
        <v>1.6607187414777499E-2</v>
      </c>
      <c r="L40" s="9">
        <v>381.96531053988099</v>
      </c>
    </row>
    <row r="41" spans="1:12" ht="22.5" x14ac:dyDescent="0.55000000000000004">
      <c r="A41" s="5" t="s">
        <v>31</v>
      </c>
      <c r="B41" s="6" t="s">
        <v>32</v>
      </c>
      <c r="C41" s="9">
        <v>9484.2817859166607</v>
      </c>
      <c r="D41" s="9">
        <v>653.016122964754</v>
      </c>
      <c r="E41" s="9">
        <v>2405.0759929999999</v>
      </c>
      <c r="F41" s="9">
        <v>2226.9416666666698</v>
      </c>
      <c r="G41" s="9">
        <v>178.134326333334</v>
      </c>
      <c r="H41" s="9">
        <v>5.5503141650483897E-3</v>
      </c>
      <c r="I41" s="9">
        <v>16381</v>
      </c>
      <c r="J41" s="9">
        <v>1.9708671165616101E-2</v>
      </c>
      <c r="K41" s="9">
        <v>1.5461164065445799E-2</v>
      </c>
      <c r="L41" s="9">
        <v>355.60677350525299</v>
      </c>
    </row>
    <row r="42" spans="1:12" ht="22.5" x14ac:dyDescent="0.55000000000000004">
      <c r="A42" s="5" t="s">
        <v>15</v>
      </c>
      <c r="B42" s="6" t="s">
        <v>50</v>
      </c>
      <c r="C42" s="9">
        <v>7357.59530633333</v>
      </c>
      <c r="D42" s="9">
        <v>506.588529288524</v>
      </c>
      <c r="E42" s="9">
        <v>2501.885166</v>
      </c>
      <c r="F42" s="9">
        <v>2174.0666666666698</v>
      </c>
      <c r="G42" s="9">
        <v>327.81849933333501</v>
      </c>
      <c r="H42" s="9">
        <v>1.0214177681902701E-2</v>
      </c>
      <c r="I42" s="9">
        <v>14674</v>
      </c>
      <c r="J42" s="9">
        <v>1.76549075565747E-2</v>
      </c>
      <c r="K42" s="9">
        <v>1.54226885941731E-2</v>
      </c>
      <c r="L42" s="9">
        <v>354.72183766598198</v>
      </c>
    </row>
    <row r="43" spans="1:12" ht="22.5" x14ac:dyDescent="0.55000000000000004">
      <c r="A43" s="5" t="s">
        <v>15</v>
      </c>
      <c r="B43" s="6" t="s">
        <v>71</v>
      </c>
      <c r="C43" s="9">
        <v>9189.6133132499999</v>
      </c>
      <c r="D43" s="9">
        <v>632.72747402704897</v>
      </c>
      <c r="E43" s="9">
        <v>2122.2281480000001</v>
      </c>
      <c r="F43" s="9">
        <v>1998.7750000000001</v>
      </c>
      <c r="G43" s="9">
        <v>123.453147999999</v>
      </c>
      <c r="H43" s="9">
        <v>3.8465565293801002E-3</v>
      </c>
      <c r="I43" s="9">
        <v>16069</v>
      </c>
      <c r="J43" s="9">
        <v>1.93332908223115E-2</v>
      </c>
      <c r="K43" s="9">
        <v>1.46872705344321E-2</v>
      </c>
      <c r="L43" s="9">
        <v>337.80722229193901</v>
      </c>
    </row>
    <row r="44" spans="1:12" ht="22.5" x14ac:dyDescent="0.55000000000000004">
      <c r="A44" s="5" t="s">
        <v>31</v>
      </c>
      <c r="B44" s="6" t="s">
        <v>35</v>
      </c>
      <c r="C44" s="9">
        <v>4501.4120579999999</v>
      </c>
      <c r="D44" s="9">
        <v>309.93328923934399</v>
      </c>
      <c r="E44" s="9">
        <v>1265.9445459999999</v>
      </c>
      <c r="F44" s="9">
        <v>1168.7249999999999</v>
      </c>
      <c r="G44" s="9">
        <v>97.219546000000506</v>
      </c>
      <c r="H44" s="9">
        <v>3.0291692476701599E-3</v>
      </c>
      <c r="I44" s="9">
        <v>16023</v>
      </c>
      <c r="J44" s="9">
        <v>1.9277946284516598E-2</v>
      </c>
      <c r="K44" s="9">
        <v>1.44033131734627E-2</v>
      </c>
      <c r="L44" s="9">
        <v>331.276202989642</v>
      </c>
    </row>
    <row r="45" spans="1:12" ht="22.5" x14ac:dyDescent="0.55000000000000004">
      <c r="A45" s="5" t="s">
        <v>38</v>
      </c>
      <c r="B45" s="6" t="s">
        <v>64</v>
      </c>
      <c r="C45" s="9">
        <v>4551.8700104999898</v>
      </c>
      <c r="D45" s="9">
        <v>313.40744334590102</v>
      </c>
      <c r="E45" s="9">
        <v>924.69719399999894</v>
      </c>
      <c r="F45" s="9">
        <v>1012.6</v>
      </c>
      <c r="G45" s="9">
        <v>-87.902806000000595</v>
      </c>
      <c r="H45" s="9">
        <v>5.0000000000000001E-3</v>
      </c>
      <c r="I45" s="9">
        <v>17226</v>
      </c>
      <c r="J45" s="9">
        <v>2.0725326262066E-2</v>
      </c>
      <c r="K45" s="9">
        <v>1.6007728383446201E-2</v>
      </c>
      <c r="L45" s="9">
        <v>368.17775281926299</v>
      </c>
    </row>
    <row r="46" spans="1:12" ht="22.5" x14ac:dyDescent="0.55000000000000004">
      <c r="A46" s="5" t="s">
        <v>7</v>
      </c>
      <c r="B46" s="6" t="s">
        <v>55</v>
      </c>
      <c r="C46" s="9">
        <v>10353.6593584166</v>
      </c>
      <c r="D46" s="9">
        <v>712.87490664507698</v>
      </c>
      <c r="E46" s="9">
        <v>2126.2469120000001</v>
      </c>
      <c r="F46" s="9">
        <v>2088.5833333333298</v>
      </c>
      <c r="G46" s="9">
        <v>37.663578666665202</v>
      </c>
      <c r="H46" s="9">
        <v>1.1735228042956201E-3</v>
      </c>
      <c r="I46" s="9">
        <v>13431</v>
      </c>
      <c r="J46" s="9">
        <v>1.6159401893986299E-2</v>
      </c>
      <c r="K46" s="9">
        <v>1.1663638167079099E-2</v>
      </c>
      <c r="L46" s="9">
        <v>268.26367784282002</v>
      </c>
    </row>
    <row r="47" spans="1:12" ht="22.5" x14ac:dyDescent="0.55000000000000004">
      <c r="A47" s="5" t="s">
        <v>23</v>
      </c>
      <c r="B47" s="6" t="s">
        <v>25</v>
      </c>
      <c r="C47" s="9">
        <v>8381.7949800000006</v>
      </c>
      <c r="D47" s="9">
        <v>577.10719534426198</v>
      </c>
      <c r="E47" s="9">
        <v>1850.1974049999999</v>
      </c>
      <c r="F47" s="9">
        <v>1586.5416666666699</v>
      </c>
      <c r="G47" s="9">
        <v>263.655738333334</v>
      </c>
      <c r="H47" s="9">
        <v>8.2149926366771892E-3</v>
      </c>
      <c r="I47" s="9">
        <v>7330</v>
      </c>
      <c r="J47" s="9">
        <v>8.8190317834055398E-3</v>
      </c>
      <c r="K47" s="9">
        <v>8.6378200393870397E-3</v>
      </c>
      <c r="L47" s="9">
        <v>198.669860905902</v>
      </c>
    </row>
    <row r="48" spans="1:12" ht="22.5" x14ac:dyDescent="0.55000000000000004">
      <c r="A48" s="5" t="s">
        <v>15</v>
      </c>
      <c r="B48" s="6" t="s">
        <v>63</v>
      </c>
      <c r="C48" s="9">
        <v>6758.1826177499897</v>
      </c>
      <c r="D48" s="9">
        <v>465.31749171393398</v>
      </c>
      <c r="E48" s="9">
        <v>900.5</v>
      </c>
      <c r="F48" s="9">
        <v>1162.00833333333</v>
      </c>
      <c r="G48" s="9">
        <v>-261.50833333333298</v>
      </c>
      <c r="H48" s="9">
        <v>5.0000000000000001E-3</v>
      </c>
      <c r="I48" s="9">
        <v>10227</v>
      </c>
      <c r="J48" s="9">
        <v>1.23045345223586E-2</v>
      </c>
      <c r="K48" s="9">
        <v>1.0113174165651001E-2</v>
      </c>
      <c r="L48" s="9">
        <v>232.60300580997301</v>
      </c>
    </row>
    <row r="49" spans="1:12" ht="22.5" x14ac:dyDescent="0.55000000000000004">
      <c r="A49" s="5" t="s">
        <v>7</v>
      </c>
      <c r="B49" s="6" t="s">
        <v>80</v>
      </c>
      <c r="C49" s="9">
        <v>3123.4327682500002</v>
      </c>
      <c r="D49" s="9">
        <v>215.056026666393</v>
      </c>
      <c r="E49" s="9">
        <v>1022.477705</v>
      </c>
      <c r="F49" s="9">
        <v>906.80833333333305</v>
      </c>
      <c r="G49" s="9">
        <v>115.669371666667</v>
      </c>
      <c r="H49" s="9">
        <v>3.6040294155456599E-3</v>
      </c>
      <c r="I49" s="9">
        <v>5137</v>
      </c>
      <c r="J49" s="9">
        <v>6.1805411011397401E-3</v>
      </c>
      <c r="K49" s="9">
        <v>5.4075875954615101E-3</v>
      </c>
      <c r="L49" s="9">
        <v>124.37451469561501</v>
      </c>
    </row>
    <row r="50" spans="1:12" ht="22.5" x14ac:dyDescent="0.55000000000000004">
      <c r="A50" s="7" t="s">
        <v>7</v>
      </c>
      <c r="B50" s="10" t="s">
        <v>61</v>
      </c>
      <c r="C50" s="9">
        <v>4930.9281046666601</v>
      </c>
      <c r="D50" s="9">
        <v>339.506525239344</v>
      </c>
      <c r="E50" s="9">
        <v>302.46203000000003</v>
      </c>
      <c r="F50" s="9">
        <v>559.58333333333303</v>
      </c>
      <c r="G50" s="9">
        <v>-257.12130333333403</v>
      </c>
      <c r="H50" s="9">
        <v>5.0000000000000001E-3</v>
      </c>
      <c r="I50" s="9">
        <v>8575</v>
      </c>
      <c r="J50" s="9">
        <v>1.0316943730245901E-2</v>
      </c>
      <c r="K50" s="9">
        <v>8.7218606111721404E-3</v>
      </c>
      <c r="L50" s="9">
        <v>200.602794056959</v>
      </c>
    </row>
  </sheetData>
  <phoneticPr fontId="2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emp</vt:lpstr>
      <vt:lpstr>Sheet1</vt:lpstr>
      <vt:lpstr>组统计_temp</vt:lpstr>
      <vt:lpstr>全量剪刀差</vt:lpstr>
      <vt:lpstr>考核方案</vt:lpstr>
      <vt:lpstr>1031</vt:lpstr>
      <vt:lpstr>三个系数计算</vt:lpstr>
      <vt:lpstr>负产能转移</vt:lpstr>
      <vt:lpstr>1027</vt:lpstr>
      <vt:lpstr>10月方案</vt:lpstr>
      <vt:lpstr>考核剔除数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ccb</dc:creator>
  <cp:lastModifiedBy>CCB</cp:lastModifiedBy>
  <dcterms:created xsi:type="dcterms:W3CDTF">2006-09-16T00:00:00Z</dcterms:created>
  <dcterms:modified xsi:type="dcterms:W3CDTF">2025-12-24T14:55:58Z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E04F524FA71B4C82B7B66680D29A5F9F_13</vt:lpwstr>
  </property>
  <property fmtid="{D5CDD505-2E9C-101B-9397-08002B2CF9AE}" pid="3" name="KSOProductBuildVer">
    <vt:lpwstr>2052-12.1.0.18276</vt:lpwstr>
  </property>
</Properties>
</file>